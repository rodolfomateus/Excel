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ntosr2\OneDrive - Nouryon Specialty Chemicals B.V\Desktop\Estudo de Caso Tabela Dinâmica\"/>
    </mc:Choice>
  </mc:AlternateContent>
  <xr:revisionPtr revIDLastSave="0" documentId="13_ncr:1_{FB5B76FE-3450-4B30-9145-13F4D4FCB65C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Tema" sheetId="30" r:id="rId1"/>
    <sheet name="BASE" sheetId="1" r:id="rId2"/>
    <sheet name="Anotações" sheetId="14" r:id="rId3"/>
    <sheet name="Email do Chefe" sheetId="8" r:id="rId4"/>
    <sheet name="Bkp Base" sheetId="26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1" hidden="1">BASE!$C$3:$M$39</definedName>
    <definedName name="_xlnm._FilterDatabase" localSheetId="4" hidden="1">'Bkp Base'!$A$1:$K$37</definedName>
    <definedName name="_xlnm._FilterDatabase" hidden="1">#REF!</definedName>
    <definedName name="Abaixo">[1]Resolvida!$I$10</definedName>
    <definedName name="ABONO">[2]Resolvida!$A$17:$C$20</definedName>
    <definedName name="Acima">[1]Resolvida!$I$9</definedName>
    <definedName name="ANO">[3]Resolvida!$O$7:$P$19</definedName>
    <definedName name="ANTIGA">[4]Resolvida!$A$7:$E$23</definedName>
    <definedName name="APR">[5]Resolvida!$I$9</definedName>
    <definedName name="APROV">[6]Resolvida!$J$12</definedName>
    <definedName name="Aprovado">[7]Resolvida!$I$9</definedName>
    <definedName name="APRV">[8]Resolvida!$I$17</definedName>
    <definedName name="bailou">[9]Resolvida!$H$11</definedName>
    <definedName name="banco">[10]Resolvida!$A$11:$E$125</definedName>
    <definedName name="BancoDados">[11]Resolvida!$A$7:$F$37</definedName>
    <definedName name="BLOCO">'[12]24A'!$E$6:$E$9</definedName>
    <definedName name="CadCli">'[13]Cadastro Clientes'!$D$4:$D$29</definedName>
    <definedName name="CadFornec">'[13]Cadastro Fonecedores'!$D$4:$D$29</definedName>
    <definedName name="CANDIDATO">[14]HELP!$D$1</definedName>
    <definedName name="CATEGORIAS" localSheetId="0">[15]TABELAS!$D$2:$D$23</definedName>
    <definedName name="CATEGORIAS">[16]LISTAS!$B$5:$B$37</definedName>
    <definedName name="Cidades">[17]tabelas!$C$3:$E$17</definedName>
    <definedName name="CINCO">[5]Resolvida!$H$10</definedName>
    <definedName name="COD" hidden="1">[18]Listas!$G$10:$G$28</definedName>
    <definedName name="Critérios">[19]Q22_Class!#REF!</definedName>
    <definedName name="DATA">[14]HELP!$D$4</definedName>
    <definedName name="DESCONTO">[20]Resolvida!$C$7:$E$13</definedName>
    <definedName name="exame">[9]Resolvida!$H$10</definedName>
    <definedName name="Filial">[21]Resolvida!$J$7:$J$11</definedName>
    <definedName name="filmes">[22]Resolvida!$A$6:$J$240</definedName>
    <definedName name="fim">'[12]03A'!$X$332</definedName>
    <definedName name="FIVE">[23]Resolvida!$J$7</definedName>
    <definedName name="Igual">[1]Resolvida!$I$11</definedName>
    <definedName name="INICIAIS">[14]HELP!$D$2</definedName>
    <definedName name="istoaqui">'[12]03A'!$B$2:$B$14</definedName>
    <definedName name="LEGAL">[24]Resolvida!$I$9</definedName>
    <definedName name="LIMITE">[1]Resolvida!$H$5</definedName>
    <definedName name="LISTA">[25]Resolvida!$A$12:$E$126</definedName>
    <definedName name="MEIABOCA">[24]Resolvida!$I$10</definedName>
    <definedName name="Mérito">[7]Resolvida!$I$8</definedName>
    <definedName name="NIVEL">[14]HELP!$D$3</definedName>
    <definedName name="NOME_DELA">'[12]24A'!$E$3</definedName>
    <definedName name="NOVA">[4]Resolvida!$H$7:$J$26</definedName>
    <definedName name="NOVE">[7]Resolvida!$H$8</definedName>
    <definedName name="OUTRO_NOME">'[12]24A'!$E$3</definedName>
    <definedName name="passou">[9]Resolvida!$H$9</definedName>
    <definedName name="PEDAÇO">#REF!</definedName>
    <definedName name="PRE_CATEG">[15]TABELAS!#REF!</definedName>
    <definedName name="PRODUTOS">[17]tabelas!$G$4:$G$17</definedName>
    <definedName name="prox_Code">'[26]Banco de Dados'!$Z$1</definedName>
    <definedName name="Próx_Lin_N1">'[26]Banco de Dados'!$V$1</definedName>
    <definedName name="REC">[5]Resolvida!$I$10</definedName>
    <definedName name="RECUP">[23]Resolvida!$H$7</definedName>
    <definedName name="Recuperação">[7]Resolvida!$I$10</definedName>
    <definedName name="REP">[5]Resolvida!$I$11</definedName>
    <definedName name="REPRO">[23]Resolvida!$H$8</definedName>
    <definedName name="REPROV">[6]Resolvida!$J$13</definedName>
    <definedName name="Reprovado">[7]Resolvida!$I$11</definedName>
    <definedName name="RPF">[8]Resolvida!$I$15</definedName>
    <definedName name="RPN">[8]Resolvida!$I$14</definedName>
    <definedName name="RPNF">[8]Resolvida!$I$16</definedName>
    <definedName name="SETE">[5]Resolvida!$H$9</definedName>
    <definedName name="SEVEN">[23]Resolvida!$J$6</definedName>
    <definedName name="SgOpenCount">[14]Seguro!$C$15</definedName>
    <definedName name="SgOpenLim">[14]Seguro!$C$14</definedName>
    <definedName name="SgTestCount">[14]Seguro!$C$19</definedName>
    <definedName name="SgTestLim">[14]Seguro!$C$18</definedName>
    <definedName name="Sigla">[17]tabelas!$C$4:$C$17</definedName>
    <definedName name="TABELA">[27]Resolvida!$L$6:$M$12</definedName>
    <definedName name="texto">#REF!</definedName>
    <definedName name="TIPOS" hidden="1">[18]Listas!$L$10:$L$18</definedName>
    <definedName name="TUDO">'[12]24A'!$B$3:$E$14</definedName>
    <definedName name="ULTIMA">#REF!</definedName>
    <definedName name="Valor_Hora">[28]Resolvida!$H$7</definedName>
    <definedName name="valordahora">[29]Resolvida!$H$7</definedName>
    <definedName name="vendas">[30]Resolvida!$A$7:$F$37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7" i="26" l="1"/>
  <c r="J37" i="26"/>
  <c r="I37" i="26"/>
  <c r="K36" i="26"/>
  <c r="J36" i="26"/>
  <c r="I36" i="26"/>
  <c r="K35" i="26"/>
  <c r="J35" i="26"/>
  <c r="I35" i="26"/>
  <c r="K34" i="26"/>
  <c r="J34" i="26"/>
  <c r="I34" i="26"/>
  <c r="K33" i="26"/>
  <c r="J33" i="26"/>
  <c r="I33" i="26"/>
  <c r="K32" i="26"/>
  <c r="J32" i="26"/>
  <c r="I32" i="26"/>
  <c r="K31" i="26"/>
  <c r="J31" i="26"/>
  <c r="I31" i="26"/>
  <c r="K30" i="26"/>
  <c r="J30" i="26"/>
  <c r="I30" i="26"/>
  <c r="K29" i="26"/>
  <c r="J29" i="26"/>
  <c r="I29" i="26"/>
  <c r="K28" i="26"/>
  <c r="J28" i="26"/>
  <c r="I28" i="26"/>
  <c r="K27" i="26"/>
  <c r="J27" i="26"/>
  <c r="I27" i="26"/>
  <c r="K26" i="26"/>
  <c r="J26" i="26"/>
  <c r="I26" i="26"/>
  <c r="K25" i="26"/>
  <c r="J25" i="26"/>
  <c r="I25" i="26"/>
  <c r="K24" i="26"/>
  <c r="J24" i="26"/>
  <c r="I24" i="26"/>
  <c r="K23" i="26"/>
  <c r="J23" i="26"/>
  <c r="I23" i="26"/>
  <c r="K22" i="26"/>
  <c r="J22" i="26"/>
  <c r="I22" i="26"/>
  <c r="K21" i="26"/>
  <c r="J21" i="26"/>
  <c r="I21" i="26"/>
  <c r="K20" i="26"/>
  <c r="J20" i="26"/>
  <c r="I20" i="26"/>
  <c r="K19" i="26"/>
  <c r="J19" i="26"/>
  <c r="I19" i="26"/>
  <c r="K18" i="26"/>
  <c r="J18" i="26"/>
  <c r="I18" i="26"/>
  <c r="K17" i="26"/>
  <c r="J17" i="26"/>
  <c r="I17" i="26"/>
  <c r="K16" i="26"/>
  <c r="J16" i="26"/>
  <c r="I16" i="26"/>
  <c r="K15" i="26"/>
  <c r="J15" i="26"/>
  <c r="I15" i="26"/>
  <c r="K14" i="26"/>
  <c r="J14" i="26"/>
  <c r="I14" i="26"/>
  <c r="K13" i="26"/>
  <c r="J13" i="26"/>
  <c r="I13" i="26"/>
  <c r="K12" i="26"/>
  <c r="J12" i="26"/>
  <c r="I12" i="26"/>
  <c r="K11" i="26"/>
  <c r="J11" i="26"/>
  <c r="I11" i="26"/>
  <c r="K10" i="26"/>
  <c r="J10" i="26"/>
  <c r="I10" i="26"/>
  <c r="K9" i="26"/>
  <c r="J9" i="26"/>
  <c r="I9" i="26"/>
  <c r="K8" i="26"/>
  <c r="J8" i="26"/>
  <c r="I8" i="26"/>
  <c r="K7" i="26"/>
  <c r="J7" i="26"/>
  <c r="I7" i="26"/>
  <c r="K6" i="26"/>
  <c r="J6" i="26"/>
  <c r="I6" i="26"/>
  <c r="K5" i="26"/>
  <c r="J5" i="26"/>
  <c r="I5" i="26"/>
  <c r="K4" i="26"/>
  <c r="J4" i="26"/>
  <c r="I4" i="26"/>
  <c r="K3" i="26"/>
  <c r="J3" i="26"/>
  <c r="I3" i="26"/>
  <c r="K2" i="26"/>
  <c r="J2" i="26"/>
  <c r="I2" i="26"/>
  <c r="M30" i="1" l="1"/>
  <c r="L30" i="1"/>
  <c r="K30" i="1"/>
  <c r="M33" i="1"/>
  <c r="L33" i="1"/>
  <c r="K33" i="1"/>
  <c r="M35" i="1"/>
  <c r="L35" i="1"/>
  <c r="K35" i="1"/>
  <c r="M7" i="1"/>
  <c r="L7" i="1"/>
  <c r="K7" i="1"/>
  <c r="K19" i="1"/>
  <c r="M19" i="1"/>
  <c r="L19" i="1"/>
  <c r="M26" i="1"/>
  <c r="L26" i="1"/>
  <c r="K26" i="1"/>
  <c r="L21" i="1" l="1"/>
  <c r="L24" i="1"/>
  <c r="L16" i="1"/>
  <c r="L22" i="1"/>
  <c r="L27" i="1"/>
  <c r="L23" i="1"/>
  <c r="L17" i="1"/>
  <c r="L28" i="1"/>
  <c r="L25" i="1"/>
  <c r="L36" i="1"/>
  <c r="L29" i="1"/>
  <c r="L4" i="1"/>
  <c r="L9" i="1"/>
  <c r="L11" i="1"/>
  <c r="L10" i="1"/>
  <c r="L5" i="1"/>
  <c r="L6" i="1"/>
  <c r="L37" i="1"/>
  <c r="L18" i="1"/>
  <c r="L38" i="1"/>
  <c r="L32" i="1"/>
  <c r="L39" i="1"/>
  <c r="L34" i="1"/>
  <c r="L8" i="1"/>
  <c r="L12" i="1"/>
  <c r="L31" i="1"/>
  <c r="L20" i="1"/>
  <c r="L14" i="1"/>
  <c r="L13" i="1"/>
  <c r="L15" i="1"/>
  <c r="M21" i="1"/>
  <c r="M24" i="1"/>
  <c r="M16" i="1"/>
  <c r="M22" i="1"/>
  <c r="M27" i="1"/>
  <c r="M23" i="1"/>
  <c r="M17" i="1"/>
  <c r="M28" i="1"/>
  <c r="M25" i="1"/>
  <c r="M36" i="1"/>
  <c r="M29" i="1"/>
  <c r="M4" i="1"/>
  <c r="M9" i="1"/>
  <c r="M11" i="1"/>
  <c r="M10" i="1"/>
  <c r="M5" i="1"/>
  <c r="M6" i="1"/>
  <c r="M37" i="1"/>
  <c r="M18" i="1"/>
  <c r="M38" i="1"/>
  <c r="M32" i="1"/>
  <c r="M39" i="1"/>
  <c r="M34" i="1"/>
  <c r="M8" i="1"/>
  <c r="M12" i="1"/>
  <c r="M31" i="1"/>
  <c r="M20" i="1"/>
  <c r="M14" i="1"/>
  <c r="M13" i="1"/>
  <c r="M15" i="1"/>
  <c r="K21" i="1" l="1"/>
  <c r="K24" i="1"/>
  <c r="K16" i="1"/>
  <c r="K22" i="1"/>
  <c r="K27" i="1"/>
  <c r="K23" i="1"/>
  <c r="K17" i="1"/>
  <c r="K28" i="1"/>
  <c r="K25" i="1"/>
  <c r="K36" i="1"/>
  <c r="K29" i="1"/>
  <c r="K4" i="1"/>
  <c r="K9" i="1"/>
  <c r="K11" i="1"/>
  <c r="K10" i="1"/>
  <c r="K5" i="1"/>
  <c r="K6" i="1"/>
  <c r="K37" i="1"/>
  <c r="K18" i="1"/>
  <c r="K38" i="1"/>
  <c r="K32" i="1"/>
  <c r="K39" i="1"/>
  <c r="K34" i="1"/>
  <c r="K8" i="1"/>
  <c r="K12" i="1"/>
  <c r="K31" i="1"/>
  <c r="K20" i="1"/>
  <c r="K14" i="1"/>
  <c r="K13" i="1"/>
  <c r="K15" i="1"/>
</calcChain>
</file>

<file path=xl/sharedStrings.xml><?xml version="1.0" encoding="utf-8"?>
<sst xmlns="http://schemas.openxmlformats.org/spreadsheetml/2006/main" count="418" uniqueCount="84">
  <si>
    <t>Vendedor</t>
  </si>
  <si>
    <t>Produto</t>
  </si>
  <si>
    <t>Categoria</t>
  </si>
  <si>
    <t>Qtde</t>
  </si>
  <si>
    <t>Filial</t>
  </si>
  <si>
    <t>Ana Paula</t>
  </si>
  <si>
    <t>Curitiba</t>
  </si>
  <si>
    <t>Cliente</t>
  </si>
  <si>
    <t>São Paulo</t>
  </si>
  <si>
    <t>Salvador</t>
  </si>
  <si>
    <t>Londrina</t>
  </si>
  <si>
    <t>Móveis</t>
  </si>
  <si>
    <t>Cômoda</t>
  </si>
  <si>
    <t>Vestuário</t>
  </si>
  <si>
    <t>Camiseta</t>
  </si>
  <si>
    <t>Eletrônicos</t>
  </si>
  <si>
    <t>Plasma</t>
  </si>
  <si>
    <t>Brinquedos</t>
  </si>
  <si>
    <t>Puzzle</t>
  </si>
  <si>
    <t>Flexy Griff</t>
  </si>
  <si>
    <t>Data</t>
  </si>
  <si>
    <t>VALOR</t>
  </si>
  <si>
    <t>ANO</t>
  </si>
  <si>
    <t>MES</t>
  </si>
  <si>
    <t>PREÇO</t>
  </si>
  <si>
    <t>Atualizar as tabelas dinâmicas</t>
  </si>
  <si>
    <t>TABELAS DINÂMICAS</t>
  </si>
  <si>
    <t>CONCEITO</t>
  </si>
  <si>
    <t>PRÉ-REQUISITOS</t>
  </si>
  <si>
    <t>LISTA DE CAMPOS  X PROCEDIMENTOS</t>
  </si>
  <si>
    <t>O procedimento de criar tabelas dinâmicas basicamente é feito arrastando os campos (colunas)</t>
  </si>
  <si>
    <t>desejadas para as posições desejadas ( linhas ou colunas da tabela dinâmica).</t>
  </si>
  <si>
    <t>tabelas dinâmicas aplicáveis. Aproveite...</t>
  </si>
  <si>
    <t>PROCEDIMENTOS ADICIONAIS</t>
  </si>
  <si>
    <t>Cama Box</t>
  </si>
  <si>
    <t>Sofá</t>
  </si>
  <si>
    <t>Rádio</t>
  </si>
  <si>
    <t>Bicicleta</t>
  </si>
  <si>
    <t>Jeans</t>
  </si>
  <si>
    <t>Celular</t>
  </si>
  <si>
    <t>Andrade Sá</t>
  </si>
  <si>
    <t>Goia Ltda</t>
  </si>
  <si>
    <t>Lojas Mauá</t>
  </si>
  <si>
    <t>Miran S/A</t>
  </si>
  <si>
    <t>Peri Móveis</t>
  </si>
  <si>
    <t>Maia S/A</t>
  </si>
  <si>
    <t>Joinville</t>
  </si>
  <si>
    <t>Videogame</t>
  </si>
  <si>
    <t>Notebook</t>
  </si>
  <si>
    <t>F Klain</t>
  </si>
  <si>
    <t>Demétrius</t>
  </si>
  <si>
    <t>Junqueira</t>
  </si>
  <si>
    <t>Krauze Sons</t>
  </si>
  <si>
    <t>C Herman</t>
  </si>
  <si>
    <t>Dist Veloso</t>
  </si>
  <si>
    <t>Lilian</t>
  </si>
  <si>
    <t>Ariele</t>
  </si>
  <si>
    <t>Fernando</t>
  </si>
  <si>
    <t>Claudia</t>
  </si>
  <si>
    <t>Mendes</t>
  </si>
  <si>
    <t>Cecilia</t>
  </si>
  <si>
    <t>Do :  CHEFE</t>
  </si>
  <si>
    <t>Preciso dos seguintes relatórios para a reunião da DIRETORIA</t>
  </si>
  <si>
    <t>( amanhã cedo...)  =)))</t>
  </si>
  <si>
    <t>NOVIDADES EXCEL 2013 / 2016</t>
  </si>
  <si>
    <t xml:space="preserve">O Excel 2013 e 2016  trazem o recurso de ANALISE RÁPIDA , com um conjunto de sugestões de </t>
  </si>
  <si>
    <t>O pré-requisito essencial de uma tabela dinâmica é uma Lista de Dados.</t>
  </si>
  <si>
    <t>( normalmente conhecida como Base de Dados ou Banco de Dados)</t>
  </si>
  <si>
    <r>
      <t xml:space="preserve">Contendo colunas de </t>
    </r>
    <r>
      <rPr>
        <b/>
        <sz val="11"/>
        <color theme="1"/>
        <rFont val="Calibri"/>
        <family val="2"/>
        <scheme val="minor"/>
      </rPr>
      <t>categorias</t>
    </r>
    <r>
      <rPr>
        <sz val="11"/>
        <color theme="1"/>
        <rFont val="Calibri"/>
        <family val="2"/>
        <scheme val="minor"/>
      </rPr>
      <t xml:space="preserve"> ( cidades, filiais, produtos, etc) e colunas de </t>
    </r>
    <r>
      <rPr>
        <b/>
        <sz val="11"/>
        <color theme="1"/>
        <rFont val="Calibri"/>
        <family val="2"/>
        <scheme val="minor"/>
      </rPr>
      <t>valores</t>
    </r>
  </si>
  <si>
    <t>LISTA DE DADOS ( OU BANCO DE DADOS)</t>
  </si>
  <si>
    <t>Tabelas Dinâmicas</t>
  </si>
  <si>
    <r>
      <rPr>
        <b/>
        <sz val="36"/>
        <color theme="4" tint="0.79998168889431442"/>
        <rFont val="Britannic Bold"/>
        <family val="2"/>
      </rPr>
      <t>*Gerando Relatórios Rápidamente
*Recurso poderoso e fácil de usar!!!</t>
    </r>
    <r>
      <rPr>
        <b/>
        <sz val="36"/>
        <color theme="4" tint="0.59999389629810485"/>
        <rFont val="Britannic Bold"/>
        <family val="2"/>
      </rPr>
      <t xml:space="preserve">
</t>
    </r>
  </si>
  <si>
    <t>Para : VOCÊ</t>
  </si>
  <si>
    <t xml:space="preserve"> Ranking de vendedores</t>
  </si>
  <si>
    <t>Ranking de clientes</t>
  </si>
  <si>
    <t>Resumo de Vendas : qtde, valor medio, valor total por Filial</t>
  </si>
  <si>
    <t xml:space="preserve">Faturamento Mês a Mês por Filial </t>
  </si>
  <si>
    <t xml:space="preserve">Mapa de vendas por produto e Categoria  por Filial </t>
  </si>
  <si>
    <t>Gerar gráfico dinâmico do Faturamento por filial</t>
  </si>
  <si>
    <t>Entender, delimitar e nomear a base de dados</t>
  </si>
  <si>
    <t>Também é muito importante que cada coluna siga um padrão de dados.</t>
  </si>
  <si>
    <t>Por  exemplo, uma mesma  Filial  com  nomes diferentes vai gerar vários totais!</t>
  </si>
  <si>
    <t>Sempre deverão ser colocados também os campos de valores  a  totalizar.</t>
  </si>
  <si>
    <t>Tabelas dinâmicas são  resumos de totais de uma Lista de Dados ( Tabela)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</si>
</sst>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 &quot;* #,##0.00_);_(&quot;R$ &quot;* \(#,##0.00\);_(&quot;R$ &quot;* &quot;-&quot;??_);_(@_)"/>
    <numFmt numFmtId="165" formatCode="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rgb="FF0070C0"/>
      <name val="Britannic Bold"/>
      <family val="2"/>
    </font>
    <font>
      <b/>
      <sz val="36"/>
      <color rgb="FF0070C0"/>
      <name val="Britannic Bold"/>
      <family val="2"/>
    </font>
    <font>
      <b/>
      <sz val="60"/>
      <color theme="8" tint="-0.499984740745262"/>
      <name val="Britannic Bold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0"/>
      <color theme="0"/>
      <name val="Britannic Bold"/>
      <family val="2"/>
    </font>
    <font>
      <b/>
      <sz val="36"/>
      <color theme="4" tint="0.79998168889431442"/>
      <name val="Britannic Bold"/>
      <family val="2"/>
    </font>
    <font>
      <b/>
      <sz val="36"/>
      <color theme="4" tint="0.59999389629810485"/>
      <name val="Britannic Bold"/>
      <family val="2"/>
    </font>
    <font>
      <u/>
      <sz val="22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" fillId="0" borderId="0"/>
    <xf numFmtId="0" fontId="1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4" fontId="0" fillId="0" borderId="0" xfId="0" applyNumberFormat="1" applyAlignment="1">
      <alignment horizontal="center"/>
    </xf>
    <xf numFmtId="164" fontId="0" fillId="0" borderId="0" xfId="1" applyFont="1" applyBorder="1"/>
    <xf numFmtId="164" fontId="0" fillId="0" borderId="0" xfId="0" applyNumberFormat="1"/>
    <xf numFmtId="165" fontId="0" fillId="0" borderId="0" xfId="0" applyNumberFormat="1" applyAlignment="1">
      <alignment horizontal="center"/>
    </xf>
    <xf numFmtId="0" fontId="2" fillId="3" borderId="1" xfId="0" applyFont="1" applyFill="1" applyBorder="1"/>
    <xf numFmtId="0" fontId="4" fillId="0" borderId="0" xfId="0" applyFont="1"/>
    <xf numFmtId="0" fontId="2" fillId="2" borderId="0" xfId="0" applyFont="1" applyFill="1" applyAlignment="1">
      <alignment horizontal="center"/>
    </xf>
    <xf numFmtId="0" fontId="10" fillId="0" borderId="0" xfId="0" applyFont="1"/>
    <xf numFmtId="0" fontId="3" fillId="5" borderId="0" xfId="0" applyFont="1" applyFill="1"/>
    <xf numFmtId="0" fontId="0" fillId="5" borderId="0" xfId="0" applyFill="1"/>
    <xf numFmtId="0" fontId="12" fillId="0" borderId="0" xfId="0" applyFont="1"/>
    <xf numFmtId="0" fontId="13" fillId="6" borderId="0" xfId="0" applyFont="1" applyFill="1"/>
    <xf numFmtId="0" fontId="2" fillId="6" borderId="0" xfId="0" applyFont="1" applyFill="1"/>
    <xf numFmtId="0" fontId="10" fillId="0" borderId="0" xfId="0" applyFont="1" applyAlignment="1">
      <alignment horizontal="center"/>
    </xf>
    <xf numFmtId="0" fontId="0" fillId="0" borderId="5" xfId="0" applyBorder="1"/>
    <xf numFmtId="14" fontId="0" fillId="0" borderId="5" xfId="0" applyNumberFormat="1" applyBorder="1" applyAlignment="1">
      <alignment horizontal="center"/>
    </xf>
    <xf numFmtId="164" fontId="0" fillId="0" borderId="5" xfId="1" applyFont="1" applyBorder="1"/>
    <xf numFmtId="0" fontId="0" fillId="0" borderId="5" xfId="0" applyBorder="1" applyAlignment="1">
      <alignment horizontal="center"/>
    </xf>
    <xf numFmtId="164" fontId="0" fillId="0" borderId="5" xfId="0" applyNumberFormat="1" applyBorder="1"/>
    <xf numFmtId="165" fontId="0" fillId="0" borderId="5" xfId="0" applyNumberFormat="1" applyBorder="1" applyAlignment="1">
      <alignment horizontal="center"/>
    </xf>
    <xf numFmtId="0" fontId="0" fillId="0" borderId="6" xfId="0" applyBorder="1"/>
    <xf numFmtId="0" fontId="0" fillId="0" borderId="7" xfId="0" applyBorder="1"/>
    <xf numFmtId="14" fontId="0" fillId="0" borderId="7" xfId="0" applyNumberFormat="1" applyBorder="1" applyAlignment="1">
      <alignment horizontal="center"/>
    </xf>
    <xf numFmtId="164" fontId="0" fillId="0" borderId="7" xfId="1" applyFont="1" applyBorder="1"/>
    <xf numFmtId="0" fontId="0" fillId="0" borderId="7" xfId="0" applyBorder="1" applyAlignment="1">
      <alignment horizontal="center"/>
    </xf>
    <xf numFmtId="164" fontId="0" fillId="0" borderId="7" xfId="0" applyNumberFormat="1" applyBorder="1"/>
    <xf numFmtId="165" fontId="0" fillId="0" borderId="7" xfId="0" applyNumberFormat="1" applyBorder="1" applyAlignment="1">
      <alignment horizontal="center"/>
    </xf>
    <xf numFmtId="0" fontId="0" fillId="0" borderId="8" xfId="0" applyBorder="1"/>
    <xf numFmtId="0" fontId="14" fillId="7" borderId="2" xfId="0" applyFont="1" applyFill="1" applyBorder="1" applyAlignment="1">
      <alignment horizontal="center"/>
    </xf>
    <xf numFmtId="0" fontId="14" fillId="7" borderId="3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center"/>
    </xf>
    <xf numFmtId="0" fontId="9" fillId="0" borderId="0" xfId="3" applyFont="1" applyAlignment="1">
      <alignment vertical="top" wrapText="1"/>
    </xf>
    <xf numFmtId="0" fontId="5" fillId="0" borderId="0" xfId="3" applyFont="1"/>
    <xf numFmtId="0" fontId="7" fillId="4" borderId="0" xfId="3" applyFont="1" applyFill="1" applyAlignment="1">
      <alignment vertical="center" wrapText="1"/>
    </xf>
    <xf numFmtId="0" fontId="0" fillId="0" borderId="1" xfId="0" applyBorder="1" applyAlignment="1">
      <alignment horizontal="center"/>
    </xf>
    <xf numFmtId="0" fontId="2" fillId="0" borderId="0" xfId="0" applyFont="1"/>
    <xf numFmtId="0" fontId="11" fillId="0" borderId="0" xfId="0" applyFont="1"/>
    <xf numFmtId="0" fontId="15" fillId="4" borderId="0" xfId="3" applyFont="1" applyFill="1" applyAlignment="1">
      <alignment horizontal="left" vertical="top" wrapText="1"/>
    </xf>
    <xf numFmtId="0" fontId="8" fillId="4" borderId="0" xfId="3" applyFont="1" applyFill="1" applyAlignment="1">
      <alignment horizontal="right" vertical="center" wrapText="1"/>
    </xf>
    <xf numFmtId="0" fontId="18" fillId="0" borderId="0" xfId="2" applyFont="1" applyFill="1" applyAlignment="1">
      <alignment horizontal="right" vertical="center"/>
    </xf>
  </cellXfs>
  <cellStyles count="5">
    <cellStyle name="Hiperlink" xfId="2" builtinId="8"/>
    <cellStyle name="Moeda" xfId="1" builtinId="4"/>
    <cellStyle name="Normal" xfId="0" builtinId="0"/>
    <cellStyle name="Normal 2" xfId="3" xr:uid="{00000000-0005-0000-0000-000003000000}"/>
    <cellStyle name="Normal 3 2 2" xfId="4" xr:uid="{00000000-0005-0000-0000-000004000000}"/>
  </cellStyles>
  <dxfs count="1"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9" Type="http://schemas.openxmlformats.org/officeDocument/2006/relationships/calcChain" Target="calcChain.xml"/><Relationship Id="rId21" Type="http://schemas.openxmlformats.org/officeDocument/2006/relationships/externalLink" Target="externalLinks/externalLink16.xml"/><Relationship Id="rId34" Type="http://schemas.openxmlformats.org/officeDocument/2006/relationships/externalLink" Target="externalLinks/externalLink29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33" Type="http://schemas.openxmlformats.org/officeDocument/2006/relationships/externalLink" Target="externalLinks/externalLink28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32" Type="http://schemas.openxmlformats.org/officeDocument/2006/relationships/externalLink" Target="externalLinks/externalLink27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externalLink" Target="externalLinks/externalLink23.xml"/><Relationship Id="rId36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openxmlformats.org/officeDocument/2006/relationships/externalLink" Target="externalLinks/externalLink2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externalLink" Target="externalLinks/externalLink22.xml"/><Relationship Id="rId30" Type="http://schemas.openxmlformats.org/officeDocument/2006/relationships/externalLink" Target="externalLinks/externalLink25.xml"/><Relationship Id="rId35" Type="http://schemas.openxmlformats.org/officeDocument/2006/relationships/externalLink" Target="externalLinks/externalLink30.xml"/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NOITE%20SET12\Int_Av_SP-21_Se%20Dupl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TARDE%20SET12-A\Int_Av_SP-52_PROCV%20Int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NOITE%20SET12\Int_Av_SP-55_Fun&#231;&#245;es%20Dat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NOITE%20SET12\Int_Av_SP-54_SEERRO%20PROCV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NOITE%20SET12\Int_Av_SP-20_Se%20Duplo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TARDE%20SET12-A\Int_Av_SP-24_Se%20com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NOITE%20SET12\Int_Av_SP-22_Se%20Triplo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FH%20-%20%20IntAvan%2095\Int_Av_SP-25_Se%20Combinado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VCG%20Intvan%2095\Int_Av_SP-20_Se%20Duplo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NOITE%20SET12\Int_Av_SP-73_Filtro2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NOITE%20SET12\Int_Av_SP-66-BDSOMA%201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UARIOS\Geraldo\Dropbox\$0_Portatil%20Cursos%20Excel\$$0_PADR&#195;O%202012\$0_Padr&#227;o%20Excel%20IntAvan\0_Pasta%20Professor\Comentarios%20Exercicios%2001-25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Caixa%20Stylu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$0-Rev%20Exercicios%202014\$1_Basico%202013-14\01-Exercicios%20%20Basico\01-Fundamentais\Gerador%20testes%20-Basico%20%20Vseg%20Vilb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3\AppData\Roaming\Microsoft\Excel\F1_Cadastro%20de%20Materiais%20A%20implantar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apa\Dropbox\Geraldo-Ana\3_Sistema%20Trocon\Formul&#225;rios\F1_Cadastro%20de%20Materiais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NOITE%20SET12\Int_Av_SP-78_Valid%20dado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eus%20documentos\My%20Dropbox\Agenda%202011\Agenda%202011%20Geraldo.xlsb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NDOW~1\AppData\Local\Temp\Rar$DI41.888\Gerador%20testes%20-%20Mod%20Basico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NOITE%20SET12\Int_Av_SP-51_PROCV%20Int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ropbox\%23%23Geraldo-Ana\0.%20Cursos%20Online\3.%20Em%20Grava&#231;&#227;o\$Gravar%20Mod%2004\000-A%20subir%20Mod%2004\4.5.2%20-%20Valida&#231;&#227;o%20de%20dados%20-%20Auditoria\4.5.2%20-%20Valida&#231;&#227;o%20de%20dados%20-%20Auditori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VCG%20Intvan%2095\Int_Av_SP-49_PROCV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TARDE%20SET12-A\Int_Av_SP-26_Se%20Carinhas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TARDE%20SET12-A\Int_Av_SP-20_Se%20Duplo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TARDE%20SET12-A\Int_Av_SP-73_Filtro2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ropbox\%23%23Geraldo-Ana\0.%20Cursos%20Online\3.%20Em%20Grava&#231;&#227;o\$Gravar%20Mod%2004\4.1.1%20-%20Os%204%20pilares%20do%20desenvolvimento\4.1.1%20-%20Os%204%20pilares%20do%20desenvolvimento-Cad%20Cli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NOITE%20SET12\Int_Av_SP-49_PROCV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FH%20-%20%20IntAvan%2095\Int_Av_SP-09_RefRelAbs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SPAIPA%20NOITE%20SET12\Int_Av_SP-09_RefRelAbs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raldo\Documents\2-Treinamento\TELETEX%20EXCEL%20AV\Exerc%20Excel%20Avan%20TLTX\FH%20-%20%20IntAvan%2095\Int_Av_SP-66-BDSOMA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21_Se Duplo"/>
      <sheetName val="Roteiro"/>
      <sheetName val="Resolvida"/>
    </sheetNames>
    <sheetDataSet>
      <sheetData sheetId="0" refreshError="1"/>
      <sheetData sheetId="1" refreshError="1"/>
      <sheetData sheetId="2">
        <row r="5">
          <cell r="H5">
            <v>0.16666666666666666</v>
          </cell>
        </row>
        <row r="9">
          <cell r="I9" t="str">
            <v>SOBRA</v>
          </cell>
        </row>
        <row r="10">
          <cell r="I10" t="str">
            <v>FALTA</v>
          </cell>
        </row>
        <row r="11">
          <cell r="I11" t="str">
            <v>NORMAL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52_PROCV Int2"/>
      <sheetName val="Resolvida"/>
    </sheetNames>
    <sheetDataSet>
      <sheetData sheetId="0" refreshError="1"/>
      <sheetData sheetId="1">
        <row r="17">
          <cell r="A17" t="str">
            <v>De</v>
          </cell>
          <cell r="B17" t="str">
            <v>Até</v>
          </cell>
          <cell r="C17" t="str">
            <v>Valor</v>
          </cell>
        </row>
        <row r="18">
          <cell r="A18">
            <v>0</v>
          </cell>
          <cell r="B18">
            <v>1100</v>
          </cell>
          <cell r="C18">
            <v>80</v>
          </cell>
        </row>
        <row r="19">
          <cell r="A19">
            <v>1000.01</v>
          </cell>
          <cell r="B19">
            <v>2200</v>
          </cell>
          <cell r="C19">
            <v>120</v>
          </cell>
        </row>
        <row r="20">
          <cell r="A20">
            <v>2200.0100000000002</v>
          </cell>
          <cell r="B20">
            <v>5000</v>
          </cell>
          <cell r="C20">
            <v>150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55_Funções Data"/>
      <sheetName val="Roteiro"/>
      <sheetName val="Resolvida"/>
    </sheetNames>
    <sheetDataSet>
      <sheetData sheetId="0" refreshError="1"/>
      <sheetData sheetId="1" refreshError="1"/>
      <sheetData sheetId="2">
        <row r="7">
          <cell r="O7" t="str">
            <v>St</v>
          </cell>
          <cell r="P7" t="str">
            <v>Mês</v>
          </cell>
        </row>
        <row r="8">
          <cell r="O8">
            <v>1</v>
          </cell>
          <cell r="P8" t="str">
            <v>Janeiro</v>
          </cell>
        </row>
        <row r="9">
          <cell r="O9">
            <v>2</v>
          </cell>
          <cell r="P9" t="str">
            <v>Fevereiro</v>
          </cell>
        </row>
        <row r="10">
          <cell r="O10">
            <v>3</v>
          </cell>
          <cell r="P10" t="str">
            <v>Março</v>
          </cell>
        </row>
        <row r="11">
          <cell r="O11">
            <v>4</v>
          </cell>
          <cell r="P11" t="str">
            <v>Abril</v>
          </cell>
        </row>
        <row r="12">
          <cell r="O12">
            <v>5</v>
          </cell>
          <cell r="P12" t="str">
            <v>Maio</v>
          </cell>
        </row>
        <row r="13">
          <cell r="O13">
            <v>6</v>
          </cell>
          <cell r="P13" t="str">
            <v>Junho</v>
          </cell>
        </row>
        <row r="14">
          <cell r="O14">
            <v>7</v>
          </cell>
          <cell r="P14" t="str">
            <v>Julho</v>
          </cell>
        </row>
        <row r="15">
          <cell r="O15">
            <v>8</v>
          </cell>
          <cell r="P15" t="str">
            <v>Agosto</v>
          </cell>
        </row>
        <row r="16">
          <cell r="O16">
            <v>9</v>
          </cell>
          <cell r="P16" t="str">
            <v>Setembro</v>
          </cell>
        </row>
        <row r="17">
          <cell r="O17">
            <v>10</v>
          </cell>
          <cell r="P17" t="str">
            <v>Outubro</v>
          </cell>
        </row>
        <row r="18">
          <cell r="O18">
            <v>11</v>
          </cell>
          <cell r="P18" t="str">
            <v>Novembro</v>
          </cell>
        </row>
        <row r="19">
          <cell r="O19">
            <v>12</v>
          </cell>
          <cell r="P19" t="str">
            <v>Dezembro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54_SEERRO PROCV"/>
      <sheetName val="Roteiro"/>
      <sheetName val="Resolvida"/>
    </sheetNames>
    <sheetDataSet>
      <sheetData sheetId="0" refreshError="1"/>
      <sheetData sheetId="1" refreshError="1"/>
      <sheetData sheetId="2">
        <row r="7">
          <cell r="A7" t="str">
            <v>Cod</v>
          </cell>
          <cell r="B7" t="str">
            <v>Nome do Filme</v>
          </cell>
          <cell r="C7" t="str">
            <v>Tipo</v>
          </cell>
          <cell r="D7" t="str">
            <v>Proc Nova</v>
          </cell>
          <cell r="E7" t="str">
            <v xml:space="preserve">STATUS </v>
          </cell>
          <cell r="H7" t="str">
            <v>Cod</v>
          </cell>
          <cell r="I7" t="str">
            <v>Nome do Filme</v>
          </cell>
          <cell r="J7" t="str">
            <v>STATUS</v>
          </cell>
        </row>
        <row r="8">
          <cell r="A8" t="str">
            <v>A003</v>
          </cell>
          <cell r="B8" t="str">
            <v>Armageddon</v>
          </cell>
          <cell r="C8" t="str">
            <v>Dublado</v>
          </cell>
          <cell r="D8" t="str">
            <v>A003</v>
          </cell>
          <cell r="E8" t="str">
            <v>MANTIDO</v>
          </cell>
          <cell r="H8" t="str">
            <v>A003</v>
          </cell>
          <cell r="I8" t="str">
            <v>Armageddon</v>
          </cell>
          <cell r="J8" t="str">
            <v>MANTIDO</v>
          </cell>
        </row>
        <row r="9">
          <cell r="A9" t="str">
            <v>A004</v>
          </cell>
          <cell r="B9" t="str">
            <v>A Jurada</v>
          </cell>
          <cell r="C9" t="str">
            <v>Dublado</v>
          </cell>
          <cell r="D9" t="str">
            <v>A004</v>
          </cell>
          <cell r="E9" t="str">
            <v>MANTIDO</v>
          </cell>
          <cell r="H9" t="str">
            <v>J001</v>
          </cell>
          <cell r="I9" t="str">
            <v>Jurassic Park</v>
          </cell>
          <cell r="J9" t="str">
            <v>MANTIDO</v>
          </cell>
        </row>
        <row r="10">
          <cell r="A10" t="str">
            <v>A005</v>
          </cell>
          <cell r="B10" t="str">
            <v>A Identidade Bourne</v>
          </cell>
          <cell r="C10" t="str">
            <v>Dublado</v>
          </cell>
          <cell r="D10" t="str">
            <v>A005</v>
          </cell>
          <cell r="E10" t="str">
            <v>MANTIDO</v>
          </cell>
          <cell r="H10" t="str">
            <v>P003</v>
          </cell>
          <cell r="I10" t="str">
            <v>Planeta dos Macacos</v>
          </cell>
          <cell r="J10" t="str">
            <v>MANTIDO</v>
          </cell>
        </row>
        <row r="11">
          <cell r="A11" t="str">
            <v>H001</v>
          </cell>
          <cell r="B11" t="str">
            <v>Homem Aranha</v>
          </cell>
          <cell r="C11" t="str">
            <v>Dublado</v>
          </cell>
          <cell r="D11" t="str">
            <v>H001</v>
          </cell>
          <cell r="E11" t="str">
            <v>MANTIDO</v>
          </cell>
          <cell r="H11" t="str">
            <v>T001</v>
          </cell>
          <cell r="I11" t="str">
            <v>Tomb Raider</v>
          </cell>
          <cell r="J11" t="str">
            <v>MANTIDO</v>
          </cell>
        </row>
        <row r="12">
          <cell r="A12" t="str">
            <v>P003</v>
          </cell>
          <cell r="B12" t="str">
            <v>Planeta dos Macacos</v>
          </cell>
          <cell r="C12" t="str">
            <v>Dublado</v>
          </cell>
          <cell r="D12" t="str">
            <v>P003</v>
          </cell>
          <cell r="E12" t="str">
            <v>MANTIDO</v>
          </cell>
          <cell r="H12" t="str">
            <v>O004</v>
          </cell>
          <cell r="I12" t="str">
            <v>O Retorno da Mumia</v>
          </cell>
          <cell r="J12" t="str">
            <v>MANTIDO</v>
          </cell>
        </row>
        <row r="13">
          <cell r="A13" t="str">
            <v>S001</v>
          </cell>
          <cell r="B13" t="str">
            <v>Star Wars I</v>
          </cell>
          <cell r="C13" t="str">
            <v>Dublado</v>
          </cell>
          <cell r="D13" t="str">
            <v>S001</v>
          </cell>
          <cell r="E13" t="str">
            <v>MANTIDO</v>
          </cell>
          <cell r="H13" t="str">
            <v>A001</v>
          </cell>
          <cell r="I13" t="str">
            <v>A Filha do General</v>
          </cell>
          <cell r="J13" t="str">
            <v>MANTIDO</v>
          </cell>
        </row>
        <row r="14">
          <cell r="A14" t="str">
            <v>A001</v>
          </cell>
          <cell r="B14" t="str">
            <v>A Filha do General</v>
          </cell>
          <cell r="C14" t="str">
            <v>Legendado</v>
          </cell>
          <cell r="D14" t="str">
            <v>A001</v>
          </cell>
          <cell r="E14" t="str">
            <v>MANTIDO</v>
          </cell>
          <cell r="H14" t="str">
            <v>C002</v>
          </cell>
          <cell r="I14" t="str">
            <v>Chamas da Vingança</v>
          </cell>
          <cell r="J14" t="str">
            <v>INCLUIDO</v>
          </cell>
        </row>
        <row r="15">
          <cell r="A15" t="str">
            <v>J001</v>
          </cell>
          <cell r="B15" t="str">
            <v>Jurassic Park</v>
          </cell>
          <cell r="C15" t="str">
            <v>Legendado</v>
          </cell>
          <cell r="D15" t="str">
            <v>J001</v>
          </cell>
          <cell r="E15" t="str">
            <v>MANTIDO</v>
          </cell>
          <cell r="H15" t="str">
            <v>O003</v>
          </cell>
          <cell r="I15" t="str">
            <v>O 6º dia</v>
          </cell>
          <cell r="J15" t="str">
            <v>MANTIDO</v>
          </cell>
        </row>
        <row r="16">
          <cell r="A16" t="str">
            <v>M001</v>
          </cell>
          <cell r="B16" t="str">
            <v>Matrix</v>
          </cell>
          <cell r="C16" t="str">
            <v>Legendado</v>
          </cell>
          <cell r="D16" t="str">
            <v>M001</v>
          </cell>
          <cell r="E16" t="str">
            <v>MANTIDO</v>
          </cell>
          <cell r="H16" t="str">
            <v>S003</v>
          </cell>
          <cell r="I16" t="str">
            <v>Superman-O retorno</v>
          </cell>
          <cell r="J16" t="str">
            <v>INCLUIDO</v>
          </cell>
        </row>
        <row r="17">
          <cell r="A17" t="str">
            <v>O002</v>
          </cell>
          <cell r="B17" t="str">
            <v>O Patriota</v>
          </cell>
          <cell r="C17" t="str">
            <v>Legendado</v>
          </cell>
          <cell r="D17" t="str">
            <v>O002</v>
          </cell>
          <cell r="E17" t="str">
            <v>MANTIDO</v>
          </cell>
          <cell r="H17" t="str">
            <v>S002</v>
          </cell>
          <cell r="I17" t="str">
            <v>Superman</v>
          </cell>
          <cell r="J17" t="str">
            <v>MANTIDO</v>
          </cell>
        </row>
        <row r="18">
          <cell r="A18" t="str">
            <v>O003</v>
          </cell>
          <cell r="B18" t="str">
            <v>O 6º dia</v>
          </cell>
          <cell r="C18" t="str">
            <v>Legendado</v>
          </cell>
          <cell r="D18" t="str">
            <v>O003</v>
          </cell>
          <cell r="E18" t="str">
            <v>MANTIDO</v>
          </cell>
          <cell r="H18" t="str">
            <v>A005</v>
          </cell>
          <cell r="I18" t="str">
            <v>A Identidade Bourne</v>
          </cell>
          <cell r="J18" t="str">
            <v>MANTIDO</v>
          </cell>
        </row>
        <row r="19">
          <cell r="A19" t="str">
            <v>O004</v>
          </cell>
          <cell r="B19" t="str">
            <v>O Retorno da Mumia</v>
          </cell>
          <cell r="C19" t="str">
            <v>Legendado</v>
          </cell>
          <cell r="D19" t="str">
            <v>O004</v>
          </cell>
          <cell r="E19" t="str">
            <v>MANTIDO</v>
          </cell>
          <cell r="H19" t="str">
            <v>O002</v>
          </cell>
          <cell r="I19" t="str">
            <v>O Patriota</v>
          </cell>
          <cell r="J19" t="str">
            <v>MANTIDO</v>
          </cell>
        </row>
        <row r="20">
          <cell r="A20" t="str">
            <v>S002</v>
          </cell>
          <cell r="B20" t="str">
            <v>Superman</v>
          </cell>
          <cell r="C20" t="str">
            <v>Legendado</v>
          </cell>
          <cell r="D20" t="str">
            <v>S002</v>
          </cell>
          <cell r="E20" t="str">
            <v>MANTIDO</v>
          </cell>
          <cell r="H20" t="str">
            <v>A004</v>
          </cell>
          <cell r="I20" t="str">
            <v>A Jurada</v>
          </cell>
          <cell r="J20" t="str">
            <v>MANTIDO</v>
          </cell>
        </row>
        <row r="21">
          <cell r="A21" t="str">
            <v>T001</v>
          </cell>
          <cell r="B21" t="str">
            <v>Tomb Raider</v>
          </cell>
          <cell r="C21" t="str">
            <v>Legendado</v>
          </cell>
          <cell r="D21" t="str">
            <v>T001</v>
          </cell>
          <cell r="E21" t="str">
            <v>MANTIDO</v>
          </cell>
          <cell r="H21" t="str">
            <v>M001</v>
          </cell>
          <cell r="I21" t="str">
            <v>Matrix</v>
          </cell>
          <cell r="J21" t="str">
            <v>MANTIDO</v>
          </cell>
        </row>
        <row r="22">
          <cell r="A22" t="str">
            <v>T002</v>
          </cell>
          <cell r="B22" t="str">
            <v>Tomb Raider II</v>
          </cell>
          <cell r="C22" t="str">
            <v>Legendado</v>
          </cell>
          <cell r="D22" t="str">
            <v/>
          </cell>
          <cell r="E22" t="str">
            <v>EXCLUIDO</v>
          </cell>
          <cell r="H22" t="str">
            <v>M002</v>
          </cell>
          <cell r="I22" t="str">
            <v>Matrix II</v>
          </cell>
          <cell r="J22" t="str">
            <v>INCLUIDO</v>
          </cell>
        </row>
        <row r="23">
          <cell r="A23" t="str">
            <v>T003</v>
          </cell>
          <cell r="B23" t="str">
            <v>Thriller - O filme</v>
          </cell>
          <cell r="C23" t="str">
            <v>Legendado</v>
          </cell>
          <cell r="D23" t="str">
            <v/>
          </cell>
          <cell r="E23" t="str">
            <v>EXCLUIDO</v>
          </cell>
          <cell r="H23" t="str">
            <v>S001</v>
          </cell>
          <cell r="I23" t="str">
            <v>Star Wars I</v>
          </cell>
          <cell r="J23" t="str">
            <v>MANTIDO</v>
          </cell>
        </row>
        <row r="24">
          <cell r="H24" t="str">
            <v>A002</v>
          </cell>
          <cell r="I24" t="str">
            <v>AI - Inteligencia Artificial</v>
          </cell>
          <cell r="J24" t="str">
            <v>INCLUIDO</v>
          </cell>
        </row>
        <row r="25">
          <cell r="H25" t="str">
            <v>H001</v>
          </cell>
          <cell r="I25" t="str">
            <v>Homem Aranha</v>
          </cell>
          <cell r="J25" t="str">
            <v>MANTIDO</v>
          </cell>
        </row>
        <row r="26">
          <cell r="H26" t="str">
            <v>P001</v>
          </cell>
          <cell r="I26" t="str">
            <v>Pearl Harbor</v>
          </cell>
          <cell r="J26" t="str">
            <v>INCLUIDO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20_Se Duplo"/>
      <sheetName val="Roteiro"/>
      <sheetName val="Resolvida"/>
    </sheetNames>
    <sheetDataSet>
      <sheetData sheetId="0" refreshError="1"/>
      <sheetData sheetId="1" refreshError="1"/>
      <sheetData sheetId="2">
        <row r="9">
          <cell r="H9">
            <v>7</v>
          </cell>
          <cell r="I9" t="str">
            <v>Aprovado</v>
          </cell>
        </row>
        <row r="10">
          <cell r="H10">
            <v>5</v>
          </cell>
          <cell r="I10" t="str">
            <v>Recuperação</v>
          </cell>
        </row>
        <row r="11">
          <cell r="I11" t="str">
            <v>Reprovado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24_Se com E"/>
      <sheetName val="Resolvida"/>
    </sheetNames>
    <sheetDataSet>
      <sheetData sheetId="0" refreshError="1"/>
      <sheetData sheetId="1">
        <row r="10">
          <cell r="I10">
            <v>7</v>
          </cell>
        </row>
        <row r="12">
          <cell r="J12" t="str">
            <v>Aprovado</v>
          </cell>
        </row>
        <row r="13">
          <cell r="J13" t="str">
            <v>Reprovado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22_Se Triplo"/>
      <sheetName val="Roteiro"/>
      <sheetName val="Resolvida"/>
    </sheetNames>
    <sheetDataSet>
      <sheetData sheetId="0" refreshError="1"/>
      <sheetData sheetId="1" refreshError="1"/>
      <sheetData sheetId="2">
        <row r="8">
          <cell r="H8">
            <v>9</v>
          </cell>
          <cell r="I8" t="str">
            <v>Mérito</v>
          </cell>
        </row>
        <row r="9">
          <cell r="I9" t="str">
            <v>Aprovado</v>
          </cell>
        </row>
        <row r="10">
          <cell r="I10" t="str">
            <v>Recuperação</v>
          </cell>
        </row>
        <row r="11">
          <cell r="I11" t="str">
            <v>Reprovado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25_Se Combinado"/>
      <sheetName val="Resolvida"/>
    </sheetNames>
    <sheetDataSet>
      <sheetData sheetId="0" refreshError="1"/>
      <sheetData sheetId="1">
        <row r="9">
          <cell r="H9">
            <v>7</v>
          </cell>
        </row>
        <row r="14">
          <cell r="I14" t="str">
            <v>Reprovado por nota</v>
          </cell>
        </row>
        <row r="15">
          <cell r="I15" t="str">
            <v>Reprovado por faltas</v>
          </cell>
        </row>
        <row r="16">
          <cell r="I16" t="str">
            <v>Reprovado por nota e falta</v>
          </cell>
        </row>
        <row r="17">
          <cell r="I17" t="str">
            <v>Aprovado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20_Se Duplo"/>
      <sheetName val="Roteiro"/>
      <sheetName val="Resolvida"/>
    </sheetNames>
    <sheetDataSet>
      <sheetData sheetId="0" refreshError="1"/>
      <sheetData sheetId="1" refreshError="1"/>
      <sheetData sheetId="2">
        <row r="9">
          <cell r="G9">
            <v>7</v>
          </cell>
          <cell r="H9" t="str">
            <v>Aprovado</v>
          </cell>
        </row>
        <row r="10">
          <cell r="H10" t="str">
            <v>Recuperação</v>
          </cell>
        </row>
        <row r="11">
          <cell r="H11" t="str">
            <v>Reprovado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73_Filtro2"/>
      <sheetName val="Roteiro"/>
      <sheetName val="Resolvida"/>
      <sheetName val="Plan1"/>
    </sheetNames>
    <sheetDataSet>
      <sheetData sheetId="0" refreshError="1"/>
      <sheetData sheetId="1" refreshError="1"/>
      <sheetData sheetId="2">
        <row r="11">
          <cell r="A11" t="str">
            <v>Código</v>
          </cell>
          <cell r="B11" t="str">
            <v>Nome</v>
          </cell>
          <cell r="C11" t="str">
            <v>Cargo</v>
          </cell>
          <cell r="D11" t="str">
            <v>Data Adm.</v>
          </cell>
          <cell r="E11" t="str">
            <v>Salário</v>
          </cell>
        </row>
        <row r="12">
          <cell r="A12">
            <v>1793</v>
          </cell>
          <cell r="B12" t="str">
            <v>Aaron</v>
          </cell>
          <cell r="C12" t="str">
            <v>Assistente Administrativo</v>
          </cell>
          <cell r="D12">
            <v>33223</v>
          </cell>
          <cell r="E12">
            <v>785</v>
          </cell>
        </row>
        <row r="13">
          <cell r="A13">
            <v>1725</v>
          </cell>
          <cell r="B13" t="str">
            <v>Alex</v>
          </cell>
          <cell r="C13" t="str">
            <v>Gerente de Unidade</v>
          </cell>
          <cell r="D13">
            <v>28533</v>
          </cell>
          <cell r="E13">
            <v>3600</v>
          </cell>
        </row>
        <row r="14">
          <cell r="A14">
            <v>1531</v>
          </cell>
          <cell r="B14" t="str">
            <v>Alexandra</v>
          </cell>
          <cell r="C14" t="str">
            <v>Cientista Pesquisador</v>
          </cell>
          <cell r="D14">
            <v>31543</v>
          </cell>
          <cell r="E14">
            <v>6800</v>
          </cell>
        </row>
        <row r="15">
          <cell r="A15">
            <v>1360</v>
          </cell>
          <cell r="B15" t="str">
            <v>Alice</v>
          </cell>
          <cell r="C15" t="str">
            <v>Assistente de Grupo Administrativo</v>
          </cell>
          <cell r="D15">
            <v>32356</v>
          </cell>
          <cell r="E15">
            <v>1345</v>
          </cell>
        </row>
        <row r="16">
          <cell r="A16">
            <v>1153</v>
          </cell>
          <cell r="B16" t="str">
            <v>Allen</v>
          </cell>
          <cell r="C16" t="str">
            <v>Assistente de Grupo Administrativo</v>
          </cell>
          <cell r="D16">
            <v>32886</v>
          </cell>
          <cell r="E16">
            <v>1345</v>
          </cell>
        </row>
        <row r="17">
          <cell r="A17">
            <v>1068</v>
          </cell>
          <cell r="B17" t="str">
            <v>Alyssa</v>
          </cell>
          <cell r="C17" t="str">
            <v>Engenheiro Mecânico</v>
          </cell>
          <cell r="D17">
            <v>32032</v>
          </cell>
          <cell r="E17">
            <v>4500</v>
          </cell>
        </row>
        <row r="18">
          <cell r="A18">
            <v>1330</v>
          </cell>
          <cell r="B18" t="str">
            <v>Anna</v>
          </cell>
          <cell r="C18" t="str">
            <v>Contador</v>
          </cell>
          <cell r="D18">
            <v>32553</v>
          </cell>
          <cell r="E18">
            <v>3456</v>
          </cell>
        </row>
        <row r="19">
          <cell r="A19">
            <v>1154</v>
          </cell>
          <cell r="B19" t="str">
            <v>Ari</v>
          </cell>
          <cell r="C19" t="str">
            <v>Engenheiro de Software</v>
          </cell>
          <cell r="D19">
            <v>31965</v>
          </cell>
          <cell r="E19">
            <v>4500</v>
          </cell>
        </row>
        <row r="20">
          <cell r="A20">
            <v>1301</v>
          </cell>
          <cell r="B20" t="str">
            <v>Ariel</v>
          </cell>
          <cell r="C20" t="str">
            <v>Engenheiro Senior</v>
          </cell>
          <cell r="D20">
            <v>31421</v>
          </cell>
          <cell r="E20">
            <v>5000</v>
          </cell>
        </row>
        <row r="21">
          <cell r="A21">
            <v>1922</v>
          </cell>
          <cell r="B21" t="str">
            <v>Barbara</v>
          </cell>
          <cell r="C21" t="str">
            <v>Contador</v>
          </cell>
          <cell r="D21">
            <v>31751</v>
          </cell>
          <cell r="E21">
            <v>1100</v>
          </cell>
        </row>
        <row r="22">
          <cell r="A22">
            <v>1353</v>
          </cell>
          <cell r="B22" t="str">
            <v>Bill</v>
          </cell>
          <cell r="C22" t="str">
            <v>Cientista Chefe</v>
          </cell>
          <cell r="D22">
            <v>30204</v>
          </cell>
          <cell r="E22">
            <v>4500</v>
          </cell>
        </row>
        <row r="23">
          <cell r="A23">
            <v>1573</v>
          </cell>
          <cell r="B23" t="str">
            <v>Bob</v>
          </cell>
          <cell r="C23" t="str">
            <v>Contador</v>
          </cell>
          <cell r="D23">
            <v>32331</v>
          </cell>
          <cell r="E23">
            <v>3000</v>
          </cell>
        </row>
        <row r="24">
          <cell r="A24">
            <v>1302</v>
          </cell>
          <cell r="B24" t="str">
            <v>Bobby</v>
          </cell>
          <cell r="C24" t="str">
            <v>Gerente da Engenharia</v>
          </cell>
          <cell r="D24">
            <v>30892</v>
          </cell>
          <cell r="E24">
            <v>5000</v>
          </cell>
        </row>
        <row r="25">
          <cell r="A25">
            <v>1076</v>
          </cell>
          <cell r="B25" t="str">
            <v>Brad</v>
          </cell>
          <cell r="C25" t="str">
            <v>Engenheiro Chefe</v>
          </cell>
          <cell r="D25">
            <v>29066</v>
          </cell>
          <cell r="E25">
            <v>6000</v>
          </cell>
        </row>
        <row r="26">
          <cell r="A26">
            <v>1293</v>
          </cell>
          <cell r="B26" t="str">
            <v>Brent</v>
          </cell>
          <cell r="C26" t="str">
            <v>Técnico</v>
          </cell>
          <cell r="D26">
            <v>30939</v>
          </cell>
          <cell r="E26">
            <v>2300</v>
          </cell>
        </row>
        <row r="27">
          <cell r="A27">
            <v>1291</v>
          </cell>
          <cell r="B27" t="str">
            <v>Burt</v>
          </cell>
          <cell r="C27" t="str">
            <v>Assistente Administrativo</v>
          </cell>
          <cell r="D27">
            <v>31042</v>
          </cell>
          <cell r="E27">
            <v>2000</v>
          </cell>
        </row>
        <row r="28">
          <cell r="A28">
            <v>1969</v>
          </cell>
          <cell r="B28" t="str">
            <v>Cara</v>
          </cell>
          <cell r="C28" t="str">
            <v>Representante de Vendas</v>
          </cell>
          <cell r="D28">
            <v>32612</v>
          </cell>
          <cell r="E28">
            <v>3500</v>
          </cell>
        </row>
        <row r="29">
          <cell r="A29">
            <v>1949</v>
          </cell>
          <cell r="B29" t="str">
            <v>Carla</v>
          </cell>
          <cell r="C29" t="str">
            <v>Promotor de Marketing</v>
          </cell>
          <cell r="D29">
            <v>29871</v>
          </cell>
          <cell r="E29">
            <v>2000</v>
          </cell>
        </row>
        <row r="30">
          <cell r="A30">
            <v>1815</v>
          </cell>
          <cell r="B30" t="str">
            <v>Carolina</v>
          </cell>
          <cell r="C30" t="str">
            <v>Gerente da Engenharia</v>
          </cell>
          <cell r="D30">
            <v>29276</v>
          </cell>
          <cell r="E30">
            <v>3000</v>
          </cell>
        </row>
        <row r="31">
          <cell r="A31">
            <v>1696</v>
          </cell>
          <cell r="B31" t="str">
            <v>Catia</v>
          </cell>
          <cell r="C31" t="str">
            <v>Engenheiro Mecânico</v>
          </cell>
          <cell r="D31">
            <v>30967</v>
          </cell>
          <cell r="E31">
            <v>6200</v>
          </cell>
        </row>
        <row r="32">
          <cell r="A32">
            <v>1967</v>
          </cell>
          <cell r="B32" t="str">
            <v>Charles</v>
          </cell>
          <cell r="C32" t="str">
            <v>Representante de Vendas</v>
          </cell>
          <cell r="D32">
            <v>30054</v>
          </cell>
          <cell r="E32">
            <v>5000</v>
          </cell>
        </row>
        <row r="33">
          <cell r="A33">
            <v>1361</v>
          </cell>
          <cell r="B33" t="str">
            <v>Cindy</v>
          </cell>
          <cell r="C33" t="str">
            <v>Técnico</v>
          </cell>
          <cell r="D33">
            <v>32346</v>
          </cell>
          <cell r="E33">
            <v>1200</v>
          </cell>
        </row>
        <row r="34">
          <cell r="A34">
            <v>1814</v>
          </cell>
          <cell r="B34" t="str">
            <v>Daoud</v>
          </cell>
          <cell r="C34" t="str">
            <v>Assistente Técnico</v>
          </cell>
          <cell r="D34">
            <v>32571</v>
          </cell>
          <cell r="E34">
            <v>2000</v>
          </cell>
        </row>
        <row r="35">
          <cell r="A35">
            <v>1427</v>
          </cell>
          <cell r="B35" t="str">
            <v>Davi</v>
          </cell>
          <cell r="C35" t="str">
            <v>Cientista Chefe</v>
          </cell>
          <cell r="D35">
            <v>28368</v>
          </cell>
          <cell r="E35">
            <v>4500</v>
          </cell>
        </row>
        <row r="36">
          <cell r="A36">
            <v>1674</v>
          </cell>
          <cell r="B36" t="str">
            <v>David</v>
          </cell>
          <cell r="C36" t="str">
            <v>Assistente de Grupo Administrativo</v>
          </cell>
          <cell r="D36">
            <v>32971</v>
          </cell>
          <cell r="E36">
            <v>1235</v>
          </cell>
        </row>
        <row r="37">
          <cell r="A37">
            <v>1658</v>
          </cell>
          <cell r="B37" t="str">
            <v>Dennis</v>
          </cell>
          <cell r="C37" t="str">
            <v>Engenheiro de Software</v>
          </cell>
          <cell r="D37">
            <v>32972</v>
          </cell>
          <cell r="E37">
            <v>4800</v>
          </cell>
        </row>
        <row r="38">
          <cell r="A38">
            <v>1303</v>
          </cell>
          <cell r="B38" t="str">
            <v>Donaldo</v>
          </cell>
          <cell r="C38" t="str">
            <v>Engenheiro de Software</v>
          </cell>
          <cell r="D38">
            <v>32973</v>
          </cell>
          <cell r="E38">
            <v>3990</v>
          </cell>
        </row>
        <row r="39">
          <cell r="A39">
            <v>1695</v>
          </cell>
          <cell r="B39" t="str">
            <v>Edison</v>
          </cell>
          <cell r="C39" t="str">
            <v>Especialista de Projetos</v>
          </cell>
          <cell r="D39">
            <v>32974</v>
          </cell>
          <cell r="E39">
            <v>3900</v>
          </cell>
        </row>
        <row r="40">
          <cell r="A40">
            <v>1792</v>
          </cell>
          <cell r="B40" t="str">
            <v>Eileen</v>
          </cell>
          <cell r="C40" t="str">
            <v>Especialista de Projetos</v>
          </cell>
          <cell r="D40">
            <v>32975</v>
          </cell>
          <cell r="E40">
            <v>3698</v>
          </cell>
        </row>
        <row r="41">
          <cell r="A41">
            <v>1079</v>
          </cell>
          <cell r="B41" t="str">
            <v>Ellen</v>
          </cell>
          <cell r="C41" t="str">
            <v>Assistente Administrativo</v>
          </cell>
          <cell r="D41">
            <v>32976</v>
          </cell>
          <cell r="E41">
            <v>845</v>
          </cell>
        </row>
        <row r="42">
          <cell r="A42">
            <v>1932</v>
          </cell>
          <cell r="B42" t="str">
            <v>Ellen</v>
          </cell>
          <cell r="C42" t="str">
            <v>Contador</v>
          </cell>
          <cell r="D42">
            <v>32977</v>
          </cell>
          <cell r="E42">
            <v>3000</v>
          </cell>
        </row>
        <row r="43">
          <cell r="A43">
            <v>1310</v>
          </cell>
          <cell r="B43" t="str">
            <v>Ellen</v>
          </cell>
          <cell r="C43" t="str">
            <v>Técnico</v>
          </cell>
          <cell r="D43">
            <v>32978</v>
          </cell>
          <cell r="E43">
            <v>2600</v>
          </cell>
        </row>
        <row r="44">
          <cell r="A44">
            <v>1677</v>
          </cell>
          <cell r="B44" t="str">
            <v>Erico</v>
          </cell>
          <cell r="C44" t="str">
            <v>Cientista Pesquisador</v>
          </cell>
          <cell r="D44">
            <v>32979</v>
          </cell>
          <cell r="E44">
            <v>12000</v>
          </cell>
        </row>
        <row r="45">
          <cell r="A45">
            <v>1968</v>
          </cell>
          <cell r="B45" t="str">
            <v>Erika</v>
          </cell>
          <cell r="C45" t="str">
            <v>Gerente Administrativo</v>
          </cell>
          <cell r="D45">
            <v>32980</v>
          </cell>
          <cell r="E45">
            <v>3200</v>
          </cell>
        </row>
        <row r="46">
          <cell r="A46">
            <v>1558</v>
          </cell>
          <cell r="B46" t="str">
            <v>Evelina</v>
          </cell>
          <cell r="C46" t="str">
            <v>Promotor de Marketing</v>
          </cell>
          <cell r="D46">
            <v>32981</v>
          </cell>
          <cell r="E46">
            <v>1789</v>
          </cell>
        </row>
        <row r="47">
          <cell r="A47">
            <v>1370</v>
          </cell>
          <cell r="B47" t="str">
            <v>Everett</v>
          </cell>
          <cell r="C47" t="str">
            <v>Cientista Pesquisador</v>
          </cell>
          <cell r="D47">
            <v>32982</v>
          </cell>
          <cell r="E47">
            <v>6000</v>
          </cell>
        </row>
        <row r="48">
          <cell r="A48">
            <v>1967</v>
          </cell>
          <cell r="B48" t="str">
            <v>Felicio</v>
          </cell>
          <cell r="C48" t="str">
            <v>Assistente Administrativo</v>
          </cell>
          <cell r="D48">
            <v>32983</v>
          </cell>
          <cell r="E48">
            <v>900</v>
          </cell>
        </row>
        <row r="49">
          <cell r="A49">
            <v>1080</v>
          </cell>
          <cell r="B49" t="str">
            <v>Felicio</v>
          </cell>
          <cell r="C49" t="str">
            <v>Cientista Pesquisador</v>
          </cell>
          <cell r="D49">
            <v>32984</v>
          </cell>
          <cell r="E49">
            <v>3000</v>
          </cell>
        </row>
        <row r="50">
          <cell r="A50">
            <v>1674</v>
          </cell>
          <cell r="B50" t="str">
            <v>Francisco</v>
          </cell>
          <cell r="C50" t="str">
            <v>Assistente Contábil</v>
          </cell>
          <cell r="D50">
            <v>32985</v>
          </cell>
          <cell r="E50">
            <v>1400</v>
          </cell>
        </row>
        <row r="51">
          <cell r="A51">
            <v>1284</v>
          </cell>
          <cell r="B51" t="str">
            <v>Francisco</v>
          </cell>
          <cell r="C51" t="str">
            <v>Promotor de Marketing</v>
          </cell>
          <cell r="D51">
            <v>32986</v>
          </cell>
          <cell r="E51">
            <v>1564</v>
          </cell>
        </row>
        <row r="52">
          <cell r="A52">
            <v>1067</v>
          </cell>
          <cell r="B52" t="str">
            <v>Gail</v>
          </cell>
          <cell r="C52" t="str">
            <v>Contador</v>
          </cell>
          <cell r="D52">
            <v>32987</v>
          </cell>
          <cell r="E52">
            <v>2500</v>
          </cell>
        </row>
        <row r="53">
          <cell r="A53">
            <v>1011</v>
          </cell>
          <cell r="B53" t="str">
            <v>Hazel</v>
          </cell>
          <cell r="C53" t="str">
            <v>Assistente Contábil</v>
          </cell>
          <cell r="D53">
            <v>32988</v>
          </cell>
          <cell r="E53">
            <v>1345</v>
          </cell>
        </row>
        <row r="54">
          <cell r="A54">
            <v>1962</v>
          </cell>
          <cell r="B54" t="str">
            <v>Hilda</v>
          </cell>
          <cell r="C54" t="str">
            <v>Representante de Vendas</v>
          </cell>
          <cell r="D54">
            <v>32989</v>
          </cell>
          <cell r="E54">
            <v>1000</v>
          </cell>
        </row>
        <row r="55">
          <cell r="A55">
            <v>1054</v>
          </cell>
          <cell r="B55" t="str">
            <v>Howard</v>
          </cell>
          <cell r="C55" t="str">
            <v>Assistente de Projetos</v>
          </cell>
          <cell r="D55">
            <v>32990</v>
          </cell>
          <cell r="E55">
            <v>785</v>
          </cell>
        </row>
        <row r="56">
          <cell r="A56">
            <v>1530</v>
          </cell>
          <cell r="B56" t="str">
            <v>Iain</v>
          </cell>
          <cell r="C56" t="str">
            <v>Assistente Administrativo</v>
          </cell>
          <cell r="D56">
            <v>32991</v>
          </cell>
          <cell r="E56">
            <v>899</v>
          </cell>
        </row>
        <row r="57">
          <cell r="A57">
            <v>1723</v>
          </cell>
          <cell r="B57" t="str">
            <v>Isolda</v>
          </cell>
          <cell r="C57" t="str">
            <v>Contador</v>
          </cell>
          <cell r="D57">
            <v>32992</v>
          </cell>
          <cell r="E57">
            <v>2300</v>
          </cell>
        </row>
        <row r="58">
          <cell r="A58">
            <v>1675</v>
          </cell>
          <cell r="B58" t="str">
            <v>Jaime</v>
          </cell>
          <cell r="C58" t="str">
            <v>Assistente de Grupo Administrativo</v>
          </cell>
          <cell r="D58">
            <v>32993</v>
          </cell>
          <cell r="E58">
            <v>1400</v>
          </cell>
        </row>
        <row r="59">
          <cell r="A59">
            <v>1675</v>
          </cell>
          <cell r="B59" t="str">
            <v>Janete</v>
          </cell>
          <cell r="C59" t="str">
            <v>Representante de Vendas</v>
          </cell>
          <cell r="D59">
            <v>32994</v>
          </cell>
          <cell r="E59">
            <v>5000</v>
          </cell>
        </row>
        <row r="60">
          <cell r="A60">
            <v>1676</v>
          </cell>
          <cell r="B60" t="str">
            <v>Jason</v>
          </cell>
          <cell r="C60" t="str">
            <v>Assistente Administrativo</v>
          </cell>
          <cell r="D60">
            <v>32995</v>
          </cell>
          <cell r="E60">
            <v>890</v>
          </cell>
        </row>
        <row r="61">
          <cell r="A61">
            <v>1978</v>
          </cell>
          <cell r="B61" t="str">
            <v>Jay</v>
          </cell>
          <cell r="C61" t="str">
            <v>Engenheiro Chefe</v>
          </cell>
          <cell r="D61">
            <v>32996</v>
          </cell>
          <cell r="E61">
            <v>7600</v>
          </cell>
        </row>
        <row r="62">
          <cell r="A62">
            <v>1960</v>
          </cell>
          <cell r="B62" t="str">
            <v>Jean</v>
          </cell>
          <cell r="C62" t="str">
            <v>Assistente de Grupo Administrativo</v>
          </cell>
          <cell r="D62">
            <v>32997</v>
          </cell>
          <cell r="E62">
            <v>1200</v>
          </cell>
        </row>
        <row r="63">
          <cell r="A63">
            <v>1169</v>
          </cell>
          <cell r="B63" t="str">
            <v>Jeremias</v>
          </cell>
          <cell r="C63" t="str">
            <v>Engenheiro de Software</v>
          </cell>
          <cell r="D63">
            <v>32998</v>
          </cell>
          <cell r="E63">
            <v>6000</v>
          </cell>
        </row>
        <row r="64">
          <cell r="A64">
            <v>1510</v>
          </cell>
          <cell r="B64" t="str">
            <v>Jessica</v>
          </cell>
          <cell r="C64" t="str">
            <v>Engenheiro Mecânico</v>
          </cell>
          <cell r="D64">
            <v>32999</v>
          </cell>
          <cell r="E64">
            <v>6300</v>
          </cell>
        </row>
        <row r="65">
          <cell r="A65">
            <v>1056</v>
          </cell>
          <cell r="B65" t="str">
            <v>José</v>
          </cell>
          <cell r="C65" t="str">
            <v>Gerente de Unidade</v>
          </cell>
          <cell r="D65">
            <v>33000</v>
          </cell>
          <cell r="E65">
            <v>4600</v>
          </cell>
        </row>
        <row r="66">
          <cell r="A66">
            <v>1428</v>
          </cell>
          <cell r="B66" t="str">
            <v>Julio</v>
          </cell>
          <cell r="C66" t="str">
            <v>Engenheiro Senior</v>
          </cell>
          <cell r="D66">
            <v>33001</v>
          </cell>
          <cell r="E66">
            <v>6000</v>
          </cell>
        </row>
        <row r="67">
          <cell r="A67">
            <v>1517</v>
          </cell>
          <cell r="B67" t="str">
            <v>Karen</v>
          </cell>
          <cell r="C67" t="str">
            <v>Engenheiro de Produção</v>
          </cell>
          <cell r="D67">
            <v>33002</v>
          </cell>
          <cell r="E67">
            <v>5000</v>
          </cell>
        </row>
        <row r="68">
          <cell r="A68">
            <v>1556</v>
          </cell>
          <cell r="B68" t="str">
            <v>Karen</v>
          </cell>
          <cell r="C68" t="str">
            <v>Técnico</v>
          </cell>
          <cell r="D68">
            <v>33003</v>
          </cell>
          <cell r="E68">
            <v>2300</v>
          </cell>
        </row>
        <row r="69">
          <cell r="A69">
            <v>1078</v>
          </cell>
          <cell r="B69" t="str">
            <v>Kendrick</v>
          </cell>
          <cell r="C69" t="str">
            <v>Assistente Administrativo</v>
          </cell>
          <cell r="D69">
            <v>33004</v>
          </cell>
          <cell r="E69">
            <v>923</v>
          </cell>
        </row>
        <row r="70">
          <cell r="A70">
            <v>1961</v>
          </cell>
          <cell r="B70" t="str">
            <v>Kristina</v>
          </cell>
          <cell r="C70" t="str">
            <v>Assistente Administrativo</v>
          </cell>
          <cell r="D70">
            <v>33005</v>
          </cell>
          <cell r="E70">
            <v>1100</v>
          </cell>
        </row>
        <row r="71">
          <cell r="A71">
            <v>1975</v>
          </cell>
          <cell r="B71" t="str">
            <v>Lauro</v>
          </cell>
          <cell r="C71" t="str">
            <v>Assistente Contábil</v>
          </cell>
          <cell r="D71">
            <v>33006</v>
          </cell>
          <cell r="E71">
            <v>1200</v>
          </cell>
        </row>
        <row r="72">
          <cell r="A72">
            <v>1518</v>
          </cell>
          <cell r="B72" t="str">
            <v>Leslie</v>
          </cell>
          <cell r="C72" t="str">
            <v>Engenheiro de Software</v>
          </cell>
          <cell r="D72">
            <v>33007</v>
          </cell>
          <cell r="E72">
            <v>5100</v>
          </cell>
        </row>
        <row r="73">
          <cell r="A73">
            <v>1290</v>
          </cell>
          <cell r="B73" t="str">
            <v>Linda</v>
          </cell>
          <cell r="C73" t="str">
            <v>Assistente Administrativo</v>
          </cell>
          <cell r="D73">
            <v>33008</v>
          </cell>
          <cell r="E73">
            <v>1250</v>
          </cell>
        </row>
        <row r="74">
          <cell r="A74">
            <v>1557</v>
          </cell>
          <cell r="B74" t="str">
            <v>Lisa</v>
          </cell>
          <cell r="C74" t="str">
            <v>Assistente Administrativo</v>
          </cell>
          <cell r="D74">
            <v>33009</v>
          </cell>
          <cell r="E74">
            <v>980</v>
          </cell>
        </row>
        <row r="75">
          <cell r="A75">
            <v>1352</v>
          </cell>
          <cell r="B75" t="str">
            <v>Lisa</v>
          </cell>
          <cell r="C75" t="str">
            <v>Assistente Técnico</v>
          </cell>
          <cell r="D75">
            <v>33010</v>
          </cell>
          <cell r="E75">
            <v>2100</v>
          </cell>
        </row>
        <row r="76">
          <cell r="A76">
            <v>1923</v>
          </cell>
          <cell r="B76" t="str">
            <v>Lisa</v>
          </cell>
          <cell r="C76" t="str">
            <v>Promotor de Marketing</v>
          </cell>
          <cell r="D76">
            <v>33011</v>
          </cell>
          <cell r="E76">
            <v>1300</v>
          </cell>
        </row>
        <row r="77">
          <cell r="A77">
            <v>1572</v>
          </cell>
          <cell r="B77" t="str">
            <v>Lise-Anne</v>
          </cell>
          <cell r="C77" t="str">
            <v>Técnico</v>
          </cell>
          <cell r="D77">
            <v>33012</v>
          </cell>
          <cell r="E77">
            <v>1312</v>
          </cell>
        </row>
        <row r="78">
          <cell r="A78">
            <v>1012</v>
          </cell>
          <cell r="B78" t="str">
            <v>Liza</v>
          </cell>
          <cell r="C78" t="str">
            <v>Engenheiro Mecânico</v>
          </cell>
          <cell r="D78">
            <v>33013</v>
          </cell>
          <cell r="E78">
            <v>4560</v>
          </cell>
        </row>
        <row r="79">
          <cell r="A79">
            <v>1794</v>
          </cell>
          <cell r="B79" t="str">
            <v>Malcolm</v>
          </cell>
          <cell r="C79" t="str">
            <v>Promotor de Marketing</v>
          </cell>
          <cell r="D79">
            <v>33014</v>
          </cell>
          <cell r="E79">
            <v>1600</v>
          </cell>
        </row>
        <row r="80">
          <cell r="A80">
            <v>1331</v>
          </cell>
          <cell r="B80" t="str">
            <v>Maria</v>
          </cell>
          <cell r="C80" t="str">
            <v>Engenheiro de Software</v>
          </cell>
          <cell r="D80">
            <v>33015</v>
          </cell>
          <cell r="E80">
            <v>6000</v>
          </cell>
        </row>
        <row r="81">
          <cell r="A81">
            <v>1152</v>
          </cell>
          <cell r="B81" t="str">
            <v>Mark</v>
          </cell>
          <cell r="C81" t="str">
            <v>Assistente Contábil</v>
          </cell>
          <cell r="D81">
            <v>33016</v>
          </cell>
          <cell r="E81">
            <v>1845</v>
          </cell>
        </row>
        <row r="82">
          <cell r="A82">
            <v>1724</v>
          </cell>
          <cell r="B82" t="str">
            <v>Mark</v>
          </cell>
          <cell r="C82" t="str">
            <v>Promotor de Marketing</v>
          </cell>
          <cell r="D82">
            <v>33017</v>
          </cell>
          <cell r="E82">
            <v>2100</v>
          </cell>
        </row>
        <row r="83">
          <cell r="A83">
            <v>1292</v>
          </cell>
          <cell r="B83" t="str">
            <v>Matthias</v>
          </cell>
          <cell r="C83" t="str">
            <v>Representante de Vendas</v>
          </cell>
          <cell r="D83">
            <v>33018</v>
          </cell>
          <cell r="E83">
            <v>3450</v>
          </cell>
        </row>
        <row r="84">
          <cell r="A84">
            <v>1055</v>
          </cell>
          <cell r="B84" t="str">
            <v>Maximo</v>
          </cell>
          <cell r="C84" t="str">
            <v>Assistente de Grupo Administrativo</v>
          </cell>
          <cell r="D84">
            <v>33019</v>
          </cell>
          <cell r="E84">
            <v>1000</v>
          </cell>
        </row>
        <row r="85">
          <cell r="A85">
            <v>1907</v>
          </cell>
          <cell r="B85" t="str">
            <v>Megan</v>
          </cell>
          <cell r="C85" t="str">
            <v>Assistente de Grupo Administrativo</v>
          </cell>
          <cell r="D85">
            <v>33020</v>
          </cell>
          <cell r="E85">
            <v>852</v>
          </cell>
        </row>
        <row r="86">
          <cell r="A86">
            <v>1758</v>
          </cell>
          <cell r="B86" t="str">
            <v>Melissa</v>
          </cell>
          <cell r="C86" t="str">
            <v>Especialista de Projetos</v>
          </cell>
          <cell r="D86">
            <v>33021</v>
          </cell>
          <cell r="E86">
            <v>3200</v>
          </cell>
        </row>
        <row r="87">
          <cell r="A87">
            <v>1908</v>
          </cell>
          <cell r="B87" t="str">
            <v>Melissa</v>
          </cell>
          <cell r="C87" t="str">
            <v>Gerente de Unidade</v>
          </cell>
          <cell r="D87">
            <v>33022</v>
          </cell>
          <cell r="E87">
            <v>4000</v>
          </cell>
        </row>
        <row r="88">
          <cell r="A88">
            <v>1816</v>
          </cell>
          <cell r="B88" t="str">
            <v>Michael</v>
          </cell>
          <cell r="C88" t="str">
            <v>Engenheiro de Software</v>
          </cell>
          <cell r="D88">
            <v>33023</v>
          </cell>
          <cell r="E88">
            <v>6234</v>
          </cell>
        </row>
        <row r="89">
          <cell r="A89">
            <v>1334</v>
          </cell>
          <cell r="B89" t="str">
            <v>Midori</v>
          </cell>
          <cell r="C89" t="str">
            <v>Assistente de Grupo Administrativo</v>
          </cell>
          <cell r="D89">
            <v>33024</v>
          </cell>
          <cell r="E89">
            <v>890</v>
          </cell>
        </row>
        <row r="90">
          <cell r="A90">
            <v>1933</v>
          </cell>
          <cell r="B90" t="str">
            <v>Miguel</v>
          </cell>
          <cell r="C90" t="str">
            <v>Engenheiro Senior</v>
          </cell>
          <cell r="D90">
            <v>33025</v>
          </cell>
          <cell r="E90">
            <v>5000</v>
          </cell>
        </row>
        <row r="91">
          <cell r="A91">
            <v>1977</v>
          </cell>
          <cell r="B91" t="str">
            <v>Mollie</v>
          </cell>
          <cell r="C91" t="str">
            <v>Especialista de Projetos</v>
          </cell>
          <cell r="D91">
            <v>33026</v>
          </cell>
          <cell r="E91">
            <v>4800</v>
          </cell>
        </row>
        <row r="92">
          <cell r="A92">
            <v>1311</v>
          </cell>
          <cell r="B92" t="str">
            <v>Natan</v>
          </cell>
          <cell r="C92" t="str">
            <v>Promotor de Marketing</v>
          </cell>
          <cell r="D92">
            <v>33027</v>
          </cell>
          <cell r="E92">
            <v>2000</v>
          </cell>
        </row>
        <row r="93">
          <cell r="A93">
            <v>1509</v>
          </cell>
          <cell r="B93" t="str">
            <v>Pamela</v>
          </cell>
          <cell r="C93" t="str">
            <v>Assistente Administrativo</v>
          </cell>
          <cell r="D93">
            <v>33028</v>
          </cell>
          <cell r="E93">
            <v>1400</v>
          </cell>
        </row>
        <row r="94">
          <cell r="A94">
            <v>1426</v>
          </cell>
          <cell r="B94" t="str">
            <v>Peter</v>
          </cell>
          <cell r="C94" t="str">
            <v>Representante de Vendas</v>
          </cell>
          <cell r="D94">
            <v>33029</v>
          </cell>
          <cell r="E94">
            <v>5400</v>
          </cell>
        </row>
        <row r="95">
          <cell r="A95">
            <v>1300</v>
          </cell>
          <cell r="B95" t="str">
            <v>Phillipe</v>
          </cell>
          <cell r="C95" t="str">
            <v>Contador</v>
          </cell>
          <cell r="D95">
            <v>33030</v>
          </cell>
          <cell r="E95">
            <v>4500</v>
          </cell>
        </row>
        <row r="96">
          <cell r="A96">
            <v>1285</v>
          </cell>
          <cell r="B96" t="str">
            <v>Ralph</v>
          </cell>
          <cell r="C96" t="str">
            <v>Gerente de Grupo</v>
          </cell>
          <cell r="D96">
            <v>33031</v>
          </cell>
          <cell r="E96">
            <v>425</v>
          </cell>
        </row>
        <row r="97">
          <cell r="A97">
            <v>1301</v>
          </cell>
          <cell r="B97" t="str">
            <v>Randy</v>
          </cell>
          <cell r="C97" t="str">
            <v>Assistente Administrativo</v>
          </cell>
          <cell r="D97">
            <v>33032</v>
          </cell>
          <cell r="E97">
            <v>1258</v>
          </cell>
        </row>
        <row r="98">
          <cell r="A98">
            <v>1950</v>
          </cell>
          <cell r="B98" t="str">
            <v>Rica</v>
          </cell>
          <cell r="C98" t="str">
            <v>Gerente de Grupo</v>
          </cell>
          <cell r="D98">
            <v>33033</v>
          </cell>
          <cell r="E98">
            <v>3800</v>
          </cell>
        </row>
        <row r="99">
          <cell r="A99">
            <v>1976</v>
          </cell>
          <cell r="B99" t="str">
            <v>Roberto</v>
          </cell>
          <cell r="C99" t="str">
            <v>Assistente de Grupo Administrativo</v>
          </cell>
          <cell r="D99">
            <v>33034</v>
          </cell>
          <cell r="E99">
            <v>1600</v>
          </cell>
        </row>
        <row r="100">
          <cell r="A100">
            <v>1041</v>
          </cell>
          <cell r="B100" t="str">
            <v>Roberto</v>
          </cell>
          <cell r="C100" t="str">
            <v>Assistente de Grupo Administrativo</v>
          </cell>
          <cell r="D100">
            <v>33035</v>
          </cell>
          <cell r="E100">
            <v>1000</v>
          </cell>
        </row>
        <row r="101">
          <cell r="A101">
            <v>1294</v>
          </cell>
          <cell r="B101" t="str">
            <v>Roberto</v>
          </cell>
          <cell r="C101" t="str">
            <v>Engenheiro Mecânico</v>
          </cell>
          <cell r="D101">
            <v>33036</v>
          </cell>
          <cell r="E101">
            <v>4000</v>
          </cell>
        </row>
        <row r="102">
          <cell r="A102">
            <v>1966</v>
          </cell>
          <cell r="B102" t="str">
            <v>Robinson</v>
          </cell>
          <cell r="C102" t="str">
            <v>Assistente de Projetos</v>
          </cell>
          <cell r="D102">
            <v>33037</v>
          </cell>
          <cell r="E102">
            <v>1654</v>
          </cell>
        </row>
        <row r="103">
          <cell r="A103">
            <v>1657</v>
          </cell>
          <cell r="B103" t="str">
            <v>Rose</v>
          </cell>
          <cell r="C103" t="str">
            <v>Contador</v>
          </cell>
          <cell r="D103">
            <v>33038</v>
          </cell>
          <cell r="E103">
            <v>3000</v>
          </cell>
        </row>
        <row r="104">
          <cell r="A104">
            <v>1906</v>
          </cell>
          <cell r="B104" t="str">
            <v>Rowena</v>
          </cell>
          <cell r="C104" t="str">
            <v>Assistente Administrativo</v>
          </cell>
          <cell r="D104">
            <v>33039</v>
          </cell>
          <cell r="E104">
            <v>1000</v>
          </cell>
        </row>
        <row r="105">
          <cell r="A105">
            <v>1574</v>
          </cell>
          <cell r="B105" t="str">
            <v>Samuel</v>
          </cell>
          <cell r="C105" t="str">
            <v>Engenheiro Senior</v>
          </cell>
          <cell r="D105">
            <v>33040</v>
          </cell>
          <cell r="E105">
            <v>7465</v>
          </cell>
        </row>
        <row r="106">
          <cell r="A106">
            <v>1725</v>
          </cell>
          <cell r="B106" t="str">
            <v>Samuel</v>
          </cell>
          <cell r="C106" t="str">
            <v>Gerente de Grupo</v>
          </cell>
          <cell r="D106">
            <v>33041</v>
          </cell>
          <cell r="E106">
            <v>3100</v>
          </cell>
        </row>
        <row r="107">
          <cell r="A107">
            <v>1167</v>
          </cell>
          <cell r="B107" t="str">
            <v>Samuel</v>
          </cell>
          <cell r="C107" t="str">
            <v>Representante de Vendas</v>
          </cell>
          <cell r="D107">
            <v>33042</v>
          </cell>
          <cell r="E107">
            <v>10000</v>
          </cell>
        </row>
        <row r="108">
          <cell r="A108">
            <v>1299</v>
          </cell>
          <cell r="B108" t="str">
            <v>Sandra</v>
          </cell>
          <cell r="C108" t="str">
            <v>Assistente Técnico</v>
          </cell>
          <cell r="D108">
            <v>33043</v>
          </cell>
          <cell r="E108">
            <v>1845</v>
          </cell>
        </row>
        <row r="109">
          <cell r="A109">
            <v>1369</v>
          </cell>
          <cell r="B109" t="str">
            <v>Sandra</v>
          </cell>
          <cell r="C109" t="str">
            <v>Cientista Chefe</v>
          </cell>
          <cell r="D109">
            <v>33044</v>
          </cell>
          <cell r="E109">
            <v>7000</v>
          </cell>
        </row>
        <row r="110">
          <cell r="A110">
            <v>1968</v>
          </cell>
          <cell r="B110" t="str">
            <v>Sara</v>
          </cell>
          <cell r="C110" t="str">
            <v>Promotor de Marketing</v>
          </cell>
          <cell r="D110">
            <v>33045</v>
          </cell>
          <cell r="E110">
            <v>1325</v>
          </cell>
        </row>
        <row r="111">
          <cell r="A111">
            <v>1359</v>
          </cell>
          <cell r="B111" t="str">
            <v>Sara</v>
          </cell>
          <cell r="C111" t="str">
            <v>Promotor de Marketing</v>
          </cell>
          <cell r="D111">
            <v>33046</v>
          </cell>
          <cell r="E111">
            <v>1321</v>
          </cell>
        </row>
        <row r="112">
          <cell r="A112">
            <v>1673</v>
          </cell>
          <cell r="B112" t="str">
            <v>Sherrie</v>
          </cell>
          <cell r="C112" t="str">
            <v>Assistente Administrativo</v>
          </cell>
          <cell r="D112">
            <v>33047</v>
          </cell>
          <cell r="E112">
            <v>1345</v>
          </cell>
        </row>
        <row r="113">
          <cell r="A113">
            <v>1075</v>
          </cell>
          <cell r="B113" t="str">
            <v>Sheryl</v>
          </cell>
          <cell r="C113" t="str">
            <v>Assistente de Projetos</v>
          </cell>
          <cell r="D113">
            <v>33048</v>
          </cell>
          <cell r="E113">
            <v>1550</v>
          </cell>
        </row>
        <row r="114">
          <cell r="A114">
            <v>1759</v>
          </cell>
          <cell r="B114" t="str">
            <v>Stephanie</v>
          </cell>
          <cell r="C114" t="str">
            <v>Engenheiro Chefe</v>
          </cell>
          <cell r="D114">
            <v>33049</v>
          </cell>
          <cell r="E114">
            <v>7800</v>
          </cell>
        </row>
        <row r="115">
          <cell r="A115">
            <v>1724</v>
          </cell>
          <cell r="B115" t="str">
            <v>Steven</v>
          </cell>
          <cell r="C115" t="str">
            <v>Assistente de Grupo Administrativo</v>
          </cell>
          <cell r="D115">
            <v>33050</v>
          </cell>
          <cell r="E115">
            <v>1230</v>
          </cell>
        </row>
        <row r="116">
          <cell r="A116">
            <v>1354</v>
          </cell>
          <cell r="B116" t="str">
            <v>Susana</v>
          </cell>
          <cell r="C116" t="str">
            <v>Engenheiro Senior</v>
          </cell>
          <cell r="D116">
            <v>33051</v>
          </cell>
          <cell r="E116">
            <v>5328</v>
          </cell>
        </row>
        <row r="117">
          <cell r="A117">
            <v>1333</v>
          </cell>
          <cell r="B117" t="str">
            <v>Tadeu</v>
          </cell>
          <cell r="C117" t="str">
            <v>Técnico</v>
          </cell>
          <cell r="D117">
            <v>33052</v>
          </cell>
          <cell r="E117">
            <v>2450</v>
          </cell>
        </row>
        <row r="118">
          <cell r="A118">
            <v>1368</v>
          </cell>
          <cell r="B118" t="str">
            <v>Tammy</v>
          </cell>
          <cell r="C118" t="str">
            <v>Assistente Administrativo</v>
          </cell>
          <cell r="D118">
            <v>33053</v>
          </cell>
          <cell r="E118">
            <v>890</v>
          </cell>
        </row>
        <row r="119">
          <cell r="A119">
            <v>1656</v>
          </cell>
          <cell r="B119" t="str">
            <v>Theodoro</v>
          </cell>
          <cell r="C119" t="str">
            <v>Assistente Administrativo</v>
          </cell>
          <cell r="D119">
            <v>33054</v>
          </cell>
          <cell r="E119">
            <v>980</v>
          </cell>
        </row>
        <row r="120">
          <cell r="A120">
            <v>1516</v>
          </cell>
          <cell r="B120" t="str">
            <v>Tom</v>
          </cell>
          <cell r="C120" t="str">
            <v>Assistente Contábil</v>
          </cell>
          <cell r="D120">
            <v>33055</v>
          </cell>
          <cell r="E120">
            <v>1700</v>
          </cell>
        </row>
        <row r="121">
          <cell r="A121">
            <v>1529</v>
          </cell>
          <cell r="B121" t="str">
            <v>Tommie</v>
          </cell>
          <cell r="C121" t="str">
            <v>Assistente Administrativo</v>
          </cell>
          <cell r="D121">
            <v>33056</v>
          </cell>
          <cell r="E121">
            <v>900</v>
          </cell>
        </row>
        <row r="122">
          <cell r="A122">
            <v>1168</v>
          </cell>
          <cell r="B122" t="str">
            <v>Toninho</v>
          </cell>
          <cell r="C122" t="str">
            <v>Assistente de Grupo Administrativo</v>
          </cell>
          <cell r="D122">
            <v>33057</v>
          </cell>
          <cell r="E122">
            <v>1750</v>
          </cell>
        </row>
        <row r="123">
          <cell r="A123">
            <v>1329</v>
          </cell>
          <cell r="B123" t="str">
            <v>Tuome</v>
          </cell>
          <cell r="C123" t="str">
            <v>Técnico</v>
          </cell>
          <cell r="D123">
            <v>33058</v>
          </cell>
          <cell r="E123">
            <v>2600</v>
          </cell>
        </row>
        <row r="124">
          <cell r="A124">
            <v>1931</v>
          </cell>
          <cell r="B124" t="str">
            <v>Ursula</v>
          </cell>
          <cell r="C124" t="str">
            <v>Contador</v>
          </cell>
          <cell r="D124">
            <v>33059</v>
          </cell>
          <cell r="E124">
            <v>3800</v>
          </cell>
        </row>
        <row r="125">
          <cell r="A125">
            <v>1977</v>
          </cell>
          <cell r="B125" t="str">
            <v>Wes</v>
          </cell>
          <cell r="C125" t="str">
            <v>Engenheiro de Software</v>
          </cell>
          <cell r="D125">
            <v>33060</v>
          </cell>
          <cell r="E125">
            <v>5000</v>
          </cell>
        </row>
      </sheetData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66-BDSOMA 1"/>
      <sheetName val="Roteiro"/>
      <sheetName val="Resolvida"/>
    </sheetNames>
    <sheetDataSet>
      <sheetData sheetId="0" refreshError="1"/>
      <sheetData sheetId="1" refreshError="1"/>
      <sheetData sheetId="2">
        <row r="7">
          <cell r="A7" t="str">
            <v>MES</v>
          </cell>
          <cell r="B7" t="str">
            <v>PEDIDO</v>
          </cell>
          <cell r="C7" t="str">
            <v>Código</v>
          </cell>
          <cell r="D7" t="str">
            <v>Descrição</v>
          </cell>
          <cell r="E7" t="str">
            <v>UNIT</v>
          </cell>
          <cell r="F7" t="str">
            <v>TOTAL</v>
          </cell>
        </row>
        <row r="8">
          <cell r="A8" t="str">
            <v>JANEIRO</v>
          </cell>
          <cell r="B8">
            <v>315733</v>
          </cell>
          <cell r="C8">
            <v>70162199</v>
          </cell>
          <cell r="D8" t="str">
            <v>Bucha latão 1/2 plg</v>
          </cell>
          <cell r="E8">
            <v>0.50109999999999999</v>
          </cell>
          <cell r="F8">
            <v>60132</v>
          </cell>
        </row>
        <row r="9">
          <cell r="A9" t="str">
            <v>JANEIRO</v>
          </cell>
          <cell r="B9">
            <v>315733</v>
          </cell>
          <cell r="C9">
            <v>70162199</v>
          </cell>
          <cell r="D9" t="str">
            <v>Bucha latão 1/2 plg</v>
          </cell>
          <cell r="E9">
            <v>0.50109999999999999</v>
          </cell>
          <cell r="F9">
            <v>60132</v>
          </cell>
        </row>
        <row r="10">
          <cell r="A10" t="str">
            <v>FEVEREIRO</v>
          </cell>
          <cell r="B10">
            <v>318920</v>
          </cell>
          <cell r="C10">
            <v>70162199</v>
          </cell>
          <cell r="D10" t="str">
            <v>Bucha latão 1/2 plg</v>
          </cell>
          <cell r="E10">
            <v>0.50109999999999999</v>
          </cell>
          <cell r="F10">
            <v>100220</v>
          </cell>
        </row>
        <row r="11">
          <cell r="A11" t="str">
            <v>FEVEREIRO</v>
          </cell>
          <cell r="B11">
            <v>318920</v>
          </cell>
          <cell r="C11">
            <v>70162199</v>
          </cell>
          <cell r="D11" t="str">
            <v>Bucha latão 1/2 plg</v>
          </cell>
          <cell r="E11">
            <v>0.50109999999999999</v>
          </cell>
          <cell r="F11">
            <v>100220</v>
          </cell>
        </row>
        <row r="12">
          <cell r="A12" t="str">
            <v>FEVEREIRO</v>
          </cell>
          <cell r="B12">
            <v>318920</v>
          </cell>
          <cell r="C12">
            <v>70162199</v>
          </cell>
          <cell r="D12" t="str">
            <v>Bucha latão 1/2 plg</v>
          </cell>
          <cell r="E12">
            <v>0.50109999999999999</v>
          </cell>
          <cell r="F12">
            <v>100220</v>
          </cell>
        </row>
        <row r="13">
          <cell r="A13" t="str">
            <v>MARÇO</v>
          </cell>
          <cell r="B13">
            <v>322966</v>
          </cell>
          <cell r="C13">
            <v>70162199</v>
          </cell>
          <cell r="D13" t="str">
            <v>Bucha latão 1/2 plg</v>
          </cell>
          <cell r="E13">
            <v>0.50109999999999999</v>
          </cell>
          <cell r="F13">
            <v>108738.7</v>
          </cell>
        </row>
        <row r="14">
          <cell r="A14" t="str">
            <v>MARÇO</v>
          </cell>
          <cell r="B14">
            <v>322966</v>
          </cell>
          <cell r="C14">
            <v>70162199</v>
          </cell>
          <cell r="D14" t="str">
            <v>Bucha latão 1/2 plg</v>
          </cell>
          <cell r="E14">
            <v>0.50109999999999999</v>
          </cell>
          <cell r="F14">
            <v>108738.7</v>
          </cell>
        </row>
        <row r="15">
          <cell r="A15" t="str">
            <v>MARÇO</v>
          </cell>
          <cell r="B15">
            <v>322966</v>
          </cell>
          <cell r="C15">
            <v>70162199</v>
          </cell>
          <cell r="D15" t="str">
            <v>Bucha latão 1/2 plg</v>
          </cell>
          <cell r="E15">
            <v>0.50109999999999999</v>
          </cell>
          <cell r="F15">
            <v>108738.7</v>
          </cell>
        </row>
        <row r="16">
          <cell r="A16" t="str">
            <v>MARÇO</v>
          </cell>
          <cell r="B16">
            <v>322966</v>
          </cell>
          <cell r="C16">
            <v>70162199</v>
          </cell>
          <cell r="D16" t="str">
            <v>Bucha latão 1/2 plg</v>
          </cell>
          <cell r="E16">
            <v>0.50109999999999999</v>
          </cell>
          <cell r="F16">
            <v>108738.7</v>
          </cell>
        </row>
        <row r="17">
          <cell r="A17" t="str">
            <v>JANEIRO</v>
          </cell>
          <cell r="B17">
            <v>315733</v>
          </cell>
          <cell r="C17">
            <v>70162202</v>
          </cell>
          <cell r="D17" t="str">
            <v>Bucha Latão 3/4 plg</v>
          </cell>
          <cell r="E17">
            <v>0.7006</v>
          </cell>
          <cell r="F17">
            <v>63054</v>
          </cell>
        </row>
        <row r="18">
          <cell r="A18" t="str">
            <v>JANEIRO</v>
          </cell>
          <cell r="B18">
            <v>315733</v>
          </cell>
          <cell r="C18">
            <v>70162202</v>
          </cell>
          <cell r="D18" t="str">
            <v>Bucha Latão 3/4 plg</v>
          </cell>
          <cell r="E18">
            <v>0.7006</v>
          </cell>
          <cell r="F18">
            <v>63054</v>
          </cell>
        </row>
        <row r="19">
          <cell r="A19" t="str">
            <v>FEVEREIRO</v>
          </cell>
          <cell r="B19">
            <v>318920</v>
          </cell>
          <cell r="C19">
            <v>70162202</v>
          </cell>
          <cell r="D19" t="str">
            <v>Bucha Latão 3/4 plg</v>
          </cell>
          <cell r="E19">
            <v>0.7006</v>
          </cell>
          <cell r="F19">
            <v>91078</v>
          </cell>
        </row>
        <row r="20">
          <cell r="A20" t="str">
            <v>FEVEREIRO</v>
          </cell>
          <cell r="B20">
            <v>318920</v>
          </cell>
          <cell r="C20">
            <v>70162202</v>
          </cell>
          <cell r="D20" t="str">
            <v>Bucha Latão 3/4 plg</v>
          </cell>
          <cell r="E20">
            <v>0.7006</v>
          </cell>
          <cell r="F20">
            <v>91078</v>
          </cell>
        </row>
        <row r="21">
          <cell r="A21" t="str">
            <v>MARÇO</v>
          </cell>
          <cell r="B21">
            <v>322966</v>
          </cell>
          <cell r="C21">
            <v>70162202</v>
          </cell>
          <cell r="D21" t="str">
            <v>Bucha Latão 3/4 plg</v>
          </cell>
          <cell r="E21">
            <v>0.7006</v>
          </cell>
          <cell r="F21">
            <v>70060</v>
          </cell>
        </row>
        <row r="22">
          <cell r="A22" t="str">
            <v>MARÇO</v>
          </cell>
          <cell r="B22">
            <v>322966</v>
          </cell>
          <cell r="C22">
            <v>70162202</v>
          </cell>
          <cell r="D22" t="str">
            <v>Bucha Latão 3/4 plg</v>
          </cell>
          <cell r="E22">
            <v>0.7006</v>
          </cell>
          <cell r="F22">
            <v>70060</v>
          </cell>
        </row>
        <row r="23">
          <cell r="A23" t="str">
            <v>MARÇO</v>
          </cell>
          <cell r="B23">
            <v>322966</v>
          </cell>
          <cell r="C23">
            <v>70162202</v>
          </cell>
          <cell r="D23" t="str">
            <v>Bucha Latão 3/4 plg</v>
          </cell>
          <cell r="E23">
            <v>0.7006</v>
          </cell>
          <cell r="F23">
            <v>70060</v>
          </cell>
        </row>
        <row r="24">
          <cell r="A24" t="str">
            <v>MARÇO</v>
          </cell>
          <cell r="B24">
            <v>322966</v>
          </cell>
          <cell r="C24">
            <v>70162202</v>
          </cell>
          <cell r="D24" t="str">
            <v>Bucha Latão 3/4 plg</v>
          </cell>
          <cell r="E24">
            <v>0.7006</v>
          </cell>
          <cell r="F24">
            <v>70060</v>
          </cell>
        </row>
        <row r="25">
          <cell r="A25" t="str">
            <v>JANEIRO</v>
          </cell>
          <cell r="B25">
            <v>315797</v>
          </cell>
          <cell r="C25">
            <v>70207214</v>
          </cell>
          <cell r="D25" t="str">
            <v>Inserto Latão 1/2 plg</v>
          </cell>
          <cell r="E25">
            <v>1.26</v>
          </cell>
          <cell r="F25">
            <v>44100</v>
          </cell>
        </row>
        <row r="26">
          <cell r="A26" t="str">
            <v>MARÇO</v>
          </cell>
          <cell r="B26">
            <v>321576</v>
          </cell>
          <cell r="C26">
            <v>70207214</v>
          </cell>
          <cell r="D26" t="str">
            <v>Inserto Latão 1/2 plg</v>
          </cell>
          <cell r="E26">
            <v>1.26</v>
          </cell>
          <cell r="F26">
            <v>12600</v>
          </cell>
        </row>
        <row r="27">
          <cell r="A27" t="str">
            <v>MARÇO</v>
          </cell>
          <cell r="B27">
            <v>323978</v>
          </cell>
          <cell r="C27">
            <v>70207214</v>
          </cell>
          <cell r="D27" t="str">
            <v>Inserto Latão 1/2 plg</v>
          </cell>
          <cell r="E27">
            <v>1.26</v>
          </cell>
          <cell r="F27">
            <v>56700</v>
          </cell>
        </row>
        <row r="28">
          <cell r="A28" t="str">
            <v>JANEIRO</v>
          </cell>
          <cell r="B28">
            <v>315797</v>
          </cell>
          <cell r="C28">
            <v>70207222</v>
          </cell>
          <cell r="D28" t="str">
            <v>Inserto Latão 3/4 plg</v>
          </cell>
          <cell r="E28">
            <v>1.83</v>
          </cell>
          <cell r="F28">
            <v>54900</v>
          </cell>
        </row>
        <row r="29">
          <cell r="A29" t="str">
            <v>MARÇO</v>
          </cell>
          <cell r="B29">
            <v>323978</v>
          </cell>
          <cell r="C29">
            <v>70207222</v>
          </cell>
          <cell r="D29" t="str">
            <v>Inserto Latão 3/4 plg</v>
          </cell>
          <cell r="E29">
            <v>1.83</v>
          </cell>
          <cell r="F29">
            <v>86925</v>
          </cell>
        </row>
        <row r="30">
          <cell r="A30" t="str">
            <v>JANEIRO</v>
          </cell>
          <cell r="B30">
            <v>315797</v>
          </cell>
          <cell r="C30">
            <v>70207230</v>
          </cell>
          <cell r="D30" t="str">
            <v>Inserto Latão 1 plg</v>
          </cell>
          <cell r="E30">
            <v>3.58</v>
          </cell>
          <cell r="F30">
            <v>10740</v>
          </cell>
        </row>
        <row r="31">
          <cell r="A31" t="str">
            <v>MARÇO</v>
          </cell>
          <cell r="B31">
            <v>323978</v>
          </cell>
          <cell r="C31">
            <v>70207230</v>
          </cell>
          <cell r="D31" t="str">
            <v>Inserto Latão 1 plg</v>
          </cell>
          <cell r="E31">
            <v>3.58</v>
          </cell>
          <cell r="F31">
            <v>9845</v>
          </cell>
        </row>
        <row r="32">
          <cell r="A32" t="str">
            <v>JANEIRO</v>
          </cell>
          <cell r="B32">
            <v>315797</v>
          </cell>
          <cell r="C32">
            <v>70220750</v>
          </cell>
          <cell r="D32" t="str">
            <v>Inserto Latão Rosca  3/4 plg</v>
          </cell>
          <cell r="E32">
            <v>3.45</v>
          </cell>
          <cell r="F32">
            <v>124200</v>
          </cell>
        </row>
        <row r="33">
          <cell r="A33" t="str">
            <v>MARÇO</v>
          </cell>
          <cell r="B33">
            <v>323978</v>
          </cell>
          <cell r="C33">
            <v>70220750</v>
          </cell>
          <cell r="D33" t="str">
            <v>Inserto Latão Rosca  3/4 plg</v>
          </cell>
          <cell r="E33">
            <v>3.45</v>
          </cell>
          <cell r="F33">
            <v>120750</v>
          </cell>
        </row>
        <row r="34">
          <cell r="A34" t="str">
            <v>MARÇO</v>
          </cell>
          <cell r="B34">
            <v>323244</v>
          </cell>
          <cell r="C34">
            <v>70220768</v>
          </cell>
          <cell r="D34" t="str">
            <v>Inserto Latão Rosca  1 plg</v>
          </cell>
          <cell r="E34">
            <v>5.77</v>
          </cell>
          <cell r="F34">
            <v>23080</v>
          </cell>
        </row>
        <row r="35">
          <cell r="A35" t="str">
            <v>MARÇO</v>
          </cell>
          <cell r="B35">
            <v>321581</v>
          </cell>
          <cell r="C35">
            <v>70221721</v>
          </cell>
          <cell r="D35" t="str">
            <v>Luva Edutor DN40</v>
          </cell>
          <cell r="E35">
            <v>26.3</v>
          </cell>
          <cell r="F35">
            <v>2630</v>
          </cell>
        </row>
        <row r="36">
          <cell r="A36" t="str">
            <v>MARÇO</v>
          </cell>
          <cell r="B36">
            <v>323244</v>
          </cell>
          <cell r="C36">
            <v>70221721</v>
          </cell>
          <cell r="D36" t="str">
            <v>Luva Edutor DN40</v>
          </cell>
          <cell r="E36">
            <v>26.3</v>
          </cell>
          <cell r="F36">
            <v>6312</v>
          </cell>
        </row>
        <row r="37">
          <cell r="A37" t="str">
            <v>JANEIRO</v>
          </cell>
          <cell r="B37">
            <v>315797</v>
          </cell>
          <cell r="C37">
            <v>70221730</v>
          </cell>
          <cell r="D37" t="str">
            <v>Luva Edutor DN50</v>
          </cell>
          <cell r="E37">
            <v>37.590000000000003</v>
          </cell>
          <cell r="F37">
            <v>3759.0000000000005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5A"/>
      <sheetName val="24A"/>
      <sheetName val="22A"/>
      <sheetName val="21A"/>
      <sheetName val="20A"/>
      <sheetName val="19A"/>
      <sheetName val="17A"/>
      <sheetName val="16A"/>
      <sheetName val="15A"/>
      <sheetName val="14A"/>
      <sheetName val="13A"/>
      <sheetName val="12A"/>
      <sheetName val="11A"/>
      <sheetName val="10A"/>
      <sheetName val="09A"/>
      <sheetName val="08A"/>
      <sheetName val="07A"/>
      <sheetName val="06A"/>
      <sheetName val="05A"/>
      <sheetName val="04A"/>
      <sheetName val="03A"/>
      <sheetName val="02A"/>
      <sheetName val="01A"/>
    </sheetNames>
    <sheetDataSet>
      <sheetData sheetId="0" refreshError="1"/>
      <sheetData sheetId="1">
        <row r="3">
          <cell r="B3" t="str">
            <v>Método 1   - selecionar a celula e digitar o nome na caixa de nome; enter</v>
          </cell>
          <cell r="D3" t="str">
            <v>ESQUERDA</v>
          </cell>
          <cell r="E3" t="str">
            <v>CELULA</v>
          </cell>
        </row>
        <row r="4">
          <cell r="B4" t="str">
            <v>Método 2  - selecionar a celula &amp;  o nome digitado  (adjacente)na planilha ; Usar  então o menu Formulas/Criar a partir da seleção; indicar o local do nome  (superior, esquerda, direita)</v>
          </cell>
        </row>
        <row r="5">
          <cell r="E5" t="str">
            <v>TITULO</v>
          </cell>
        </row>
        <row r="6">
          <cell r="B6" t="str">
            <v>Uma celula pode ter mais de um nome</v>
          </cell>
          <cell r="E6" t="str">
            <v>A</v>
          </cell>
        </row>
        <row r="7">
          <cell r="B7" t="str">
            <v>Pode-se dar um nome tambem  para  um intervalo</v>
          </cell>
          <cell r="E7" t="str">
            <v>B</v>
          </cell>
        </row>
        <row r="8">
          <cell r="E8" t="str">
            <v>C</v>
          </cell>
        </row>
        <row r="9">
          <cell r="B9" t="str">
            <v>Ao selecionar  o nome de uma célula ou intervalo na Caixa de Nomes, o excel seleciona a celula ou intervalo nomeado</v>
          </cell>
          <cell r="E9" t="str">
            <v>D</v>
          </cell>
        </row>
        <row r="10">
          <cell r="B10" t="str">
            <v>Normalmente o nome tem validade na pasta de trabalho; iste permite navegar entre planilhas usando nomes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2">
          <cell r="B2" t="str">
            <v>ELEMENTOS DA JANELA DO EXCEL 2007/2010</v>
          </cell>
        </row>
        <row r="4">
          <cell r="B4" t="str">
            <v>FAIXA DE OPÇÕES - substituiu as barras de ferramentas e menus das versões anteriores</v>
          </cell>
        </row>
        <row r="5">
          <cell r="B5" t="str">
            <v>a faixa de opções é composta de guias ( menus) e em cada guia, temos agrupamentos de botões</v>
          </cell>
        </row>
        <row r="7">
          <cell r="B7" t="str">
            <v>BARRA DE FERRAMENTAS DE ACESSO RÁPIDO  - 100% personalizada pelo usuário ( favoritos)</v>
          </cell>
        </row>
        <row r="8">
          <cell r="B8" t="str">
            <v>para colocar botões na barra, usar o botão direito do mouse no botão desejado</v>
          </cell>
        </row>
        <row r="9">
          <cell r="B9" t="str">
            <v>ou usar o comando Personalizar barra de ferramentas de acesso rápido</v>
          </cell>
        </row>
        <row r="10">
          <cell r="B10" t="str">
            <v>para remover botão direito /remover</v>
          </cell>
        </row>
        <row r="12">
          <cell r="B12" t="str">
            <v>CAIXA DE NOME - contem o endereço ou referencia da célula ativa no momento</v>
          </cell>
        </row>
        <row r="13">
          <cell r="B13" t="str">
            <v>também permite digitação de uma referencia ( navegação)</v>
          </cell>
        </row>
        <row r="14">
          <cell r="B14" t="str">
            <v>também permite digitação de um nome para uma celula ou bloco</v>
          </cell>
        </row>
      </sheetData>
      <sheetData sheetId="21" refreshError="1"/>
      <sheetData sheetId="2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juda"/>
      <sheetName val="Plano de Contas"/>
      <sheetName val="Cadastro Orçamento"/>
      <sheetName val="Orçamento"/>
      <sheetName val="Cadastro Clientes"/>
      <sheetName val="Cadastro Fonecedores"/>
      <sheetName val="Lançamentos Clientes"/>
      <sheetName val="Previsão Entrada"/>
      <sheetName val="Lançamentos  Entrada"/>
      <sheetName val="Previsão de Gastos"/>
      <sheetName val="Lançamentos  Saída"/>
      <sheetName val="Janeiro"/>
      <sheetName val="Fevereiro"/>
      <sheetName val="Março"/>
      <sheetName val="Abril"/>
      <sheetName val="Maio"/>
      <sheetName val="Junho"/>
      <sheetName val="Ultimo Orçamento"/>
    </sheetNames>
    <sheetDataSet>
      <sheetData sheetId="0"/>
      <sheetData sheetId="1"/>
      <sheetData sheetId="2"/>
      <sheetData sheetId="3"/>
      <sheetData sheetId="4">
        <row r="4">
          <cell r="D4" t="str">
            <v>Vilberto Correia</v>
          </cell>
        </row>
        <row r="5">
          <cell r="D5" t="str">
            <v>Vera Cruz seguros</v>
          </cell>
        </row>
        <row r="6">
          <cell r="D6" t="str">
            <v>Ana Cais</v>
          </cell>
        </row>
        <row r="7">
          <cell r="D7" t="str">
            <v>Joana Machado</v>
          </cell>
        </row>
      </sheetData>
      <sheetData sheetId="5">
        <row r="4">
          <cell r="D4" t="str">
            <v>Ads Informatica</v>
          </cell>
        </row>
        <row r="5">
          <cell r="D5" t="str">
            <v>Luke sky</v>
          </cell>
        </row>
        <row r="6">
          <cell r="D6" t="str">
            <v>Vilberto Correia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Seguro"/>
      <sheetName val="HELP"/>
      <sheetName val="IDENT"/>
      <sheetName val="Q01_Navega"/>
      <sheetName val="Q02_Terminologia"/>
      <sheetName val="Q03_Terminologia2"/>
      <sheetName val="Q04_Operações"/>
      <sheetName val="Q05_Formulas"/>
      <sheetName val="Q06_Expressão"/>
      <sheetName val="Q07_Calc % #3"/>
      <sheetName val="Q08_Calc %2"/>
      <sheetName val="Q09_Calc %3"/>
      <sheetName val="Q10_Ref Abs 1"/>
      <sheetName val="Q11_RefAbs1"/>
      <sheetName val="Q12_RefAbs2"/>
      <sheetName val="Q13_RefAbs3"/>
      <sheetName val="Q14_RefAbs4"/>
      <sheetName val="Q15_Formatos"/>
      <sheetName val="Q16_Formatos1"/>
      <sheetName val="Q17_CalculoFormulas"/>
      <sheetName val="Q18_Form"/>
      <sheetName val="Q19_Form"/>
      <sheetName val="Q20_Form1"/>
      <sheetName val="Q21_FormCond"/>
      <sheetName val="Q22_RefAbs"/>
      <sheetName val="Q23_Ins"/>
      <sheetName val="Q24_Func"/>
      <sheetName val="Q25_Func4"/>
      <sheetName val="Q26_Func3"/>
      <sheetName val="Q27_Func2"/>
      <sheetName val="Q28_FuncSE"/>
      <sheetName val="Q29_Se"/>
      <sheetName val="Q30_MédiaSe"/>
      <sheetName val="Q31_Se"/>
      <sheetName val="Q32_Se1"/>
      <sheetName val="Q33_Se2"/>
      <sheetName val="Q34_Se3"/>
      <sheetName val="Q35_Se4"/>
      <sheetName val="Q36_Se5"/>
      <sheetName val="Q37_SeDuplo"/>
      <sheetName val="Q38_HorasValor"/>
      <sheetName val="Q39_DatasValor"/>
      <sheetName val="Q40_Func Se Sub"/>
      <sheetName val="Q41_SeDiv0"/>
      <sheetName val="Q42_Graf1"/>
      <sheetName val="Q43_Graf2"/>
      <sheetName val="Q44_Graf3"/>
      <sheetName val="Q45_Graf31"/>
      <sheetName val="Q46_Graf32"/>
      <sheetName val="Q47_Graf33"/>
      <sheetName val="Q48_Grafico"/>
      <sheetName val="Q49_GrafRadar5"/>
      <sheetName val="Q50_GrafPiz4"/>
      <sheetName val="Q51_Class"/>
      <sheetName val="Q52_Class"/>
      <sheetName val="Q53_Classif"/>
      <sheetName val="Q54_Classif1"/>
      <sheetName val="Q55_Classif2"/>
      <sheetName val="Q56_Opções"/>
      <sheetName val="Q57_Filtro"/>
      <sheetName val="Q58_Filtro1"/>
      <sheetName val="Q59_Filtro2"/>
      <sheetName val="Q60_Filtro3"/>
      <sheetName val="Q61_Datas"/>
      <sheetName val="Q62_ConfigZoom"/>
      <sheetName val="Q63_ConfigZoom1"/>
      <sheetName val="Q64_NavegCongel"/>
      <sheetName val="Q65_Limites"/>
      <sheetName val="Q66_Impress"/>
      <sheetName val="Q67_Impress1"/>
      <sheetName val="Q68_Impress2"/>
      <sheetName val="Q69_InsExcLC"/>
      <sheetName val="Q70_DigitSeriesNum1"/>
      <sheetName val="Q71_Pincel"/>
      <sheetName val="Q72_Coment"/>
      <sheetName val="Q73_Coment1"/>
      <sheetName val="Q74_Teclas"/>
      <sheetName val="Q75_NavF5"/>
      <sheetName val="Q76_GerPlan"/>
      <sheetName val="Q77_Proteção"/>
      <sheetName val="Q78_Proteção1"/>
      <sheetName val="Q79_DigitSeries"/>
      <sheetName val="Q80_AutoConcl"/>
      <sheetName val="Q81_Formas"/>
      <sheetName val="Q82_FuncTexto"/>
      <sheetName val="Q83_FuncData"/>
    </sheetNames>
    <sheetDataSet>
      <sheetData sheetId="0"/>
      <sheetData sheetId="1">
        <row r="14">
          <cell r="C14">
            <v>200</v>
          </cell>
        </row>
        <row r="15">
          <cell r="C15">
            <v>16</v>
          </cell>
        </row>
        <row r="18">
          <cell r="C18">
            <v>100</v>
          </cell>
        </row>
        <row r="19">
          <cell r="C19">
            <v>5</v>
          </cell>
        </row>
      </sheetData>
      <sheetData sheetId="2">
        <row r="1">
          <cell r="D1" t="str">
            <v>NOME DO PARTICIPANTE</v>
          </cell>
        </row>
        <row r="2">
          <cell r="D2" t="str">
            <v>ABC</v>
          </cell>
        </row>
        <row r="3">
          <cell r="D3" t="str">
            <v>Básico</v>
          </cell>
        </row>
        <row r="4">
          <cell r="D4">
            <v>40985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TEIRO"/>
      <sheetName val="CONSULTA"/>
      <sheetName val="BASE"/>
      <sheetName val="TABELAS"/>
    </sheetNames>
    <sheetDataSet>
      <sheetData sheetId="0"/>
      <sheetData sheetId="1"/>
      <sheetData sheetId="2"/>
      <sheetData sheetId="3">
        <row r="2">
          <cell r="D2" t="str">
            <v>Alimentação</v>
          </cell>
        </row>
        <row r="3">
          <cell r="D3" t="str">
            <v>Combustível</v>
          </cell>
        </row>
        <row r="4">
          <cell r="D4" t="str">
            <v>Despesas Gerais</v>
          </cell>
        </row>
        <row r="5">
          <cell r="D5" t="str">
            <v>Epis/Uniformes</v>
          </cell>
        </row>
        <row r="6">
          <cell r="D6" t="str">
            <v>Equipamentos</v>
          </cell>
        </row>
        <row r="7">
          <cell r="D7" t="str">
            <v>Ferramentas</v>
          </cell>
        </row>
        <row r="8">
          <cell r="D8" t="str">
            <v>Informatica</v>
          </cell>
        </row>
        <row r="9">
          <cell r="D9" t="str">
            <v>Mat Alvenaria</v>
          </cell>
        </row>
        <row r="10">
          <cell r="D10" t="str">
            <v>Mat Consumo</v>
          </cell>
        </row>
        <row r="11">
          <cell r="D11" t="str">
            <v>Mat Eletrico</v>
          </cell>
        </row>
        <row r="12">
          <cell r="D12" t="str">
            <v>Mat Escritorio</v>
          </cell>
        </row>
        <row r="13">
          <cell r="D13" t="str">
            <v>Mat Hidraulico</v>
          </cell>
        </row>
        <row r="14">
          <cell r="D14" t="str">
            <v>Mat Pesado</v>
          </cell>
        </row>
        <row r="15">
          <cell r="D15" t="str">
            <v>Móveis E Utensílios</v>
          </cell>
        </row>
        <row r="16">
          <cell r="D16" t="str">
            <v>Salarios</v>
          </cell>
        </row>
        <row r="17">
          <cell r="D17" t="str">
            <v>Serviços - PF</v>
          </cell>
        </row>
        <row r="18">
          <cell r="D18" t="str">
            <v>Serviços - PJ</v>
          </cell>
        </row>
        <row r="19">
          <cell r="D19" t="str">
            <v>Taxas / Impostos</v>
          </cell>
        </row>
        <row r="20">
          <cell r="D20" t="str">
            <v>Viagem</v>
          </cell>
        </row>
        <row r="21">
          <cell r="D21" t="str">
            <v>ZZZ-DEFINIR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Formulário"/>
      <sheetName val="Consulta"/>
      <sheetName val="N1_Materiais"/>
      <sheetName val="LISTAS"/>
      <sheetName val="ROTEIRO 1702"/>
      <sheetName val="Workarea"/>
    </sheetNames>
    <sheetDataSet>
      <sheetData sheetId="0"/>
      <sheetData sheetId="1"/>
      <sheetData sheetId="2"/>
      <sheetData sheetId="3"/>
      <sheetData sheetId="4">
        <row r="5">
          <cell r="B5" t="str">
            <v>Alimentação</v>
          </cell>
        </row>
        <row r="6">
          <cell r="B6" t="str">
            <v>Aparelhos/comp.</v>
          </cell>
        </row>
        <row r="7">
          <cell r="B7" t="str">
            <v>Combustível</v>
          </cell>
        </row>
        <row r="8">
          <cell r="B8" t="str">
            <v>Despesas Gerais</v>
          </cell>
        </row>
        <row r="9">
          <cell r="B9" t="str">
            <v>EPIS/Uniformes</v>
          </cell>
        </row>
        <row r="10">
          <cell r="B10" t="str">
            <v>Equipamentos</v>
          </cell>
        </row>
        <row r="11">
          <cell r="B11" t="str">
            <v>Esquadrias</v>
          </cell>
        </row>
        <row r="12">
          <cell r="B12" t="str">
            <v>Ferramentas</v>
          </cell>
        </row>
        <row r="13">
          <cell r="B13" t="str">
            <v>Implantação</v>
          </cell>
        </row>
        <row r="14">
          <cell r="B14" t="str">
            <v>Informatica</v>
          </cell>
        </row>
        <row r="15">
          <cell r="B15" t="str">
            <v>Locação</v>
          </cell>
        </row>
        <row r="16">
          <cell r="B16" t="str">
            <v>Mao de obra</v>
          </cell>
        </row>
        <row r="17">
          <cell r="B17" t="str">
            <v>Mat Alvenaria</v>
          </cell>
        </row>
        <row r="18">
          <cell r="B18" t="str">
            <v>Mat Consumo</v>
          </cell>
        </row>
        <row r="19">
          <cell r="B19" t="str">
            <v>Mat Eletrico/telefone</v>
          </cell>
        </row>
        <row r="20">
          <cell r="B20" t="str">
            <v>Mat Escritorio</v>
          </cell>
        </row>
        <row r="21">
          <cell r="B21" t="str">
            <v>Mat Gás</v>
          </cell>
        </row>
        <row r="22">
          <cell r="B22" t="str">
            <v>Mat Hidraulico</v>
          </cell>
        </row>
        <row r="23">
          <cell r="B23" t="str">
            <v>Mat Incendio</v>
          </cell>
        </row>
        <row r="24">
          <cell r="B24" t="str">
            <v>Mat limpeza</v>
          </cell>
        </row>
        <row r="25">
          <cell r="B25" t="str">
            <v>Mat Pesado</v>
          </cell>
        </row>
        <row r="26">
          <cell r="B26" t="str">
            <v>Móveis e Utensílios</v>
          </cell>
        </row>
        <row r="27">
          <cell r="B27" t="str">
            <v>Pintura</v>
          </cell>
        </row>
        <row r="28">
          <cell r="B28" t="str">
            <v>Salarios</v>
          </cell>
        </row>
        <row r="29">
          <cell r="B29" t="str">
            <v>Serviços - PF</v>
          </cell>
        </row>
        <row r="30">
          <cell r="B30" t="str">
            <v>Serviços - PJ</v>
          </cell>
        </row>
        <row r="31">
          <cell r="B31" t="str">
            <v>Transporte</v>
          </cell>
        </row>
        <row r="32">
          <cell r="B32" t="str">
            <v>telhado/forro</v>
          </cell>
        </row>
        <row r="33">
          <cell r="B33" t="str">
            <v>paisagismo</v>
          </cell>
        </row>
        <row r="34">
          <cell r="B34" t="str">
            <v>Taxas / Impostos</v>
          </cell>
        </row>
        <row r="35">
          <cell r="B35" t="str">
            <v>Viagem</v>
          </cell>
        </row>
        <row r="36">
          <cell r="B36" t="str">
            <v>ZZ_EXCLUIR</v>
          </cell>
        </row>
        <row r="37">
          <cell r="B37" t="str">
            <v>ZZZ-DEFINIR</v>
          </cell>
        </row>
      </sheetData>
      <sheetData sheetId="5"/>
      <sheetData sheetId="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78_Valid dados1"/>
      <sheetName val="Roteiro"/>
      <sheetName val="Resolvida"/>
      <sheetName val="tabela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Sigla</v>
          </cell>
          <cell r="D3" t="str">
            <v>Cidade</v>
          </cell>
          <cell r="E3" t="str">
            <v>Região</v>
          </cell>
        </row>
        <row r="4">
          <cell r="C4" t="str">
            <v>ARA</v>
          </cell>
          <cell r="D4" t="str">
            <v>Araçatuba</v>
          </cell>
          <cell r="E4" t="str">
            <v>SPN</v>
          </cell>
          <cell r="G4" t="str">
            <v>Agenda</v>
          </cell>
        </row>
        <row r="5">
          <cell r="C5" t="str">
            <v>BEB</v>
          </cell>
          <cell r="D5" t="str">
            <v>Bebedouro</v>
          </cell>
          <cell r="E5" t="str">
            <v>SPN</v>
          </cell>
          <cell r="G5" t="str">
            <v>Apontador</v>
          </cell>
        </row>
        <row r="6">
          <cell r="C6" t="str">
            <v>BRU</v>
          </cell>
          <cell r="D6" t="str">
            <v>Bauru</v>
          </cell>
          <cell r="E6" t="str">
            <v>SPS</v>
          </cell>
          <cell r="G6" t="str">
            <v>Borracha</v>
          </cell>
        </row>
        <row r="7">
          <cell r="C7" t="str">
            <v>CBE</v>
          </cell>
          <cell r="D7" t="str">
            <v>Cambé</v>
          </cell>
          <cell r="E7" t="str">
            <v>PRN</v>
          </cell>
          <cell r="G7" t="str">
            <v>Caderno</v>
          </cell>
        </row>
        <row r="8">
          <cell r="C8" t="str">
            <v>CTA</v>
          </cell>
          <cell r="D8" t="str">
            <v>Curitiba</v>
          </cell>
          <cell r="E8" t="str">
            <v>PRS</v>
          </cell>
          <cell r="G8" t="str">
            <v>Caneta</v>
          </cell>
        </row>
        <row r="9">
          <cell r="C9" t="str">
            <v>CVL</v>
          </cell>
          <cell r="D9" t="str">
            <v>Cascavel</v>
          </cell>
          <cell r="E9" t="str">
            <v>PRO</v>
          </cell>
          <cell r="G9" t="str">
            <v>Clips</v>
          </cell>
        </row>
        <row r="10">
          <cell r="C10" t="str">
            <v>FOZ</v>
          </cell>
          <cell r="D10" t="str">
            <v>Foz do Iguaçu</v>
          </cell>
          <cell r="E10" t="str">
            <v>PRO</v>
          </cell>
          <cell r="G10" t="str">
            <v>Grampeador</v>
          </cell>
        </row>
        <row r="11">
          <cell r="C11" t="str">
            <v>GPV</v>
          </cell>
          <cell r="D11" t="str">
            <v>Guarapuava</v>
          </cell>
          <cell r="E11" t="str">
            <v>PRS</v>
          </cell>
          <cell r="G11" t="str">
            <v>Cola</v>
          </cell>
        </row>
        <row r="12">
          <cell r="C12" t="str">
            <v>MAR</v>
          </cell>
          <cell r="D12" t="str">
            <v>Marilia</v>
          </cell>
          <cell r="E12" t="str">
            <v>SPS</v>
          </cell>
          <cell r="G12" t="str">
            <v>Envelopes</v>
          </cell>
        </row>
        <row r="13">
          <cell r="C13" t="str">
            <v>MGA</v>
          </cell>
          <cell r="D13" t="str">
            <v>Maringa</v>
          </cell>
          <cell r="E13" t="str">
            <v>PRN</v>
          </cell>
          <cell r="G13" t="str">
            <v>Grafite 0,7mm</v>
          </cell>
        </row>
        <row r="14">
          <cell r="C14" t="str">
            <v>PGA</v>
          </cell>
          <cell r="D14" t="str">
            <v>Paranagua</v>
          </cell>
          <cell r="E14" t="str">
            <v>PRS</v>
          </cell>
          <cell r="G14" t="str">
            <v>Grampos</v>
          </cell>
        </row>
        <row r="15">
          <cell r="C15" t="str">
            <v>PGO</v>
          </cell>
          <cell r="D15" t="str">
            <v>Ponta Grossa</v>
          </cell>
          <cell r="E15" t="str">
            <v>PRS</v>
          </cell>
          <cell r="G15" t="str">
            <v>Lápis</v>
          </cell>
        </row>
        <row r="16">
          <cell r="C16" t="str">
            <v>RFE</v>
          </cell>
          <cell r="D16" t="str">
            <v>Regente Feijo</v>
          </cell>
          <cell r="E16" t="str">
            <v>PRN</v>
          </cell>
          <cell r="G16" t="str">
            <v>Papel A4</v>
          </cell>
        </row>
        <row r="17">
          <cell r="C17" t="str">
            <v>SRP</v>
          </cell>
          <cell r="D17" t="str">
            <v>S José Rio Preto</v>
          </cell>
          <cell r="E17" t="str">
            <v>SPN</v>
          </cell>
          <cell r="G17" t="str">
            <v>Régua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JUDA"/>
      <sheetName val="Consulta"/>
      <sheetName val="OK"/>
      <sheetName val="ToDo"/>
      <sheetName val="GrfHoras"/>
      <sheetName val="HrEmp"/>
      <sheetName val="QdAtv"/>
      <sheetName val="Novas"/>
      <sheetName val="work"/>
      <sheetName val="Listas"/>
      <sheetName val="SET NOV"/>
      <sheetName val="NFS 2011"/>
      <sheetName val="Gráf1"/>
      <sheetName val="Fluxo RP"/>
      <sheetName val="Gráf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G10" t="str">
            <v>CTC</v>
          </cell>
          <cell r="L10" t="str">
            <v>Aula</v>
          </cell>
        </row>
        <row r="11">
          <cell r="G11" t="str">
            <v>CTM</v>
          </cell>
          <cell r="L11" t="str">
            <v>Contato</v>
          </cell>
        </row>
        <row r="12">
          <cell r="G12" t="str">
            <v>CTN</v>
          </cell>
          <cell r="L12" t="str">
            <v>HomeOffice</v>
          </cell>
        </row>
        <row r="13">
          <cell r="G13" t="str">
            <v>CTP</v>
          </cell>
          <cell r="L13" t="str">
            <v>Lazer</v>
          </cell>
        </row>
        <row r="14">
          <cell r="G14" t="str">
            <v>CTT</v>
          </cell>
          <cell r="L14" t="str">
            <v>Pagamento</v>
          </cell>
        </row>
        <row r="15">
          <cell r="G15" t="str">
            <v>EPE</v>
          </cell>
          <cell r="L15" t="str">
            <v>Recebimento</v>
          </cell>
        </row>
        <row r="16">
          <cell r="G16" t="str">
            <v>EPI</v>
          </cell>
          <cell r="L16" t="str">
            <v>Reunião</v>
          </cell>
        </row>
        <row r="17">
          <cell r="G17" t="str">
            <v>EPP</v>
          </cell>
          <cell r="L17" t="str">
            <v>Casa</v>
          </cell>
        </row>
        <row r="18">
          <cell r="G18" t="str">
            <v>FNJ</v>
          </cell>
          <cell r="L18" t="str">
            <v>Visita</v>
          </cell>
        </row>
        <row r="19">
          <cell r="G19" t="str">
            <v>FNO</v>
          </cell>
        </row>
        <row r="20">
          <cell r="G20" t="str">
            <v>FNP</v>
          </cell>
        </row>
        <row r="21">
          <cell r="G21" t="str">
            <v>FNR</v>
          </cell>
        </row>
        <row r="22">
          <cell r="G22" t="str">
            <v>MKD</v>
          </cell>
        </row>
        <row r="23">
          <cell r="G23" t="str">
            <v>MKN</v>
          </cell>
        </row>
        <row r="24">
          <cell r="G24" t="str">
            <v>MKW</v>
          </cell>
        </row>
        <row r="25">
          <cell r="G25" t="str">
            <v>VPA</v>
          </cell>
        </row>
        <row r="26">
          <cell r="G26" t="str">
            <v>VPF</v>
          </cell>
        </row>
        <row r="27">
          <cell r="G27" t="str">
            <v>VPK</v>
          </cell>
        </row>
        <row r="28">
          <cell r="G28" t="str">
            <v>VPS</v>
          </cell>
        </row>
      </sheetData>
      <sheetData sheetId="10"/>
      <sheetData sheetId="11"/>
      <sheetData sheetId="12" refreshError="1"/>
      <sheetData sheetId="13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"/>
      <sheetName val="IDENT"/>
      <sheetName val="Q1_Naveg"/>
      <sheetName val="Q2_Termos"/>
      <sheetName val="Q3_Oper"/>
      <sheetName val="Q4_Calc"/>
      <sheetName val="Q5_Calc%"/>
      <sheetName val="Q6_RefAbs"/>
      <sheetName val="Q7_Format"/>
      <sheetName val="Q8_Func"/>
      <sheetName val="Q9_CalcForm"/>
      <sheetName val="Q10_Form"/>
      <sheetName val="Q11_Form"/>
      <sheetName val="Q12_RefAbs"/>
      <sheetName val="Q13_Ins"/>
      <sheetName val="Q14_Func"/>
      <sheetName val="Q15_Se"/>
      <sheetName val="Q16_MédiaSe"/>
      <sheetName val="Q17_Se"/>
      <sheetName val="Q18_SeDuplo"/>
      <sheetName val="Q19_Graf1"/>
      <sheetName val="Q20_Graf2"/>
      <sheetName val="Q21_Graf3"/>
      <sheetName val="Q22_Class"/>
      <sheetName val="Q23_Class"/>
      <sheetName val="Q24_Opções"/>
      <sheetName val="Q25_Filtro"/>
      <sheetName val="Q26_Datas"/>
      <sheetName val="Q27_ConfigZoom"/>
      <sheetName val="Q28_Limites"/>
      <sheetName val="Q29_SeDiv0"/>
      <sheetName val="Q30_Impr"/>
      <sheetName val="Q31_InsExcLC"/>
      <sheetName val="Q32_Pincel"/>
      <sheetName val="Q33_Coment"/>
      <sheetName val="Q34_Teclas"/>
      <sheetName val="Q35_NavF5"/>
      <sheetName val="Q36_GerPlan"/>
      <sheetName val="Q37_Proteção"/>
      <sheetName val="Q38_DigitSeries"/>
      <sheetName val="Q39_AutoConcl"/>
      <sheetName val="Q40_Formas"/>
    </sheetNames>
    <sheetDataSet>
      <sheetData sheetId="0">
        <row r="1">
          <cell r="D1" t="str">
            <v>Marco Aurelio Zambeta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51_PROCV Int1"/>
      <sheetName val="Roteiro"/>
      <sheetName val="Resolvida"/>
    </sheetNames>
    <sheetDataSet>
      <sheetData sheetId="0" refreshError="1"/>
      <sheetData sheetId="1" refreshError="1"/>
      <sheetData sheetId="2">
        <row r="7">
          <cell r="C7" t="str">
            <v>Mín</v>
          </cell>
          <cell r="D7" t="str">
            <v>Máx</v>
          </cell>
          <cell r="E7" t="str">
            <v>DESCONTO</v>
          </cell>
        </row>
        <row r="8">
          <cell r="C8">
            <v>0</v>
          </cell>
          <cell r="D8">
            <v>1000</v>
          </cell>
          <cell r="E8">
            <v>0.03</v>
          </cell>
        </row>
        <row r="9">
          <cell r="C9">
            <v>1001</v>
          </cell>
          <cell r="D9">
            <v>1700</v>
          </cell>
          <cell r="E9">
            <v>0.04</v>
          </cell>
        </row>
        <row r="10">
          <cell r="C10">
            <v>1701</v>
          </cell>
          <cell r="D10">
            <v>2400</v>
          </cell>
          <cell r="E10">
            <v>0.05</v>
          </cell>
        </row>
        <row r="11">
          <cell r="C11">
            <v>2401</v>
          </cell>
          <cell r="D11">
            <v>3100</v>
          </cell>
          <cell r="E11">
            <v>0.06</v>
          </cell>
        </row>
        <row r="12">
          <cell r="C12">
            <v>3101</v>
          </cell>
          <cell r="D12">
            <v>3800</v>
          </cell>
          <cell r="E12">
            <v>7.0000000000000007E-2</v>
          </cell>
        </row>
        <row r="13">
          <cell r="C13">
            <v>3801</v>
          </cell>
          <cell r="D13">
            <v>9999</v>
          </cell>
          <cell r="E13">
            <v>0.08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ma"/>
      <sheetName val="Original"/>
      <sheetName val="Resolvida"/>
      <sheetName val="Anotações"/>
    </sheetNames>
    <sheetDataSet>
      <sheetData sheetId="0" refreshError="1"/>
      <sheetData sheetId="1" refreshError="1"/>
      <sheetData sheetId="2">
        <row r="7">
          <cell r="J7" t="str">
            <v>Curitiba</v>
          </cell>
        </row>
        <row r="8">
          <cell r="J8" t="str">
            <v>Florianópolis</v>
          </cell>
        </row>
        <row r="9">
          <cell r="J9" t="str">
            <v>São Paulo</v>
          </cell>
        </row>
        <row r="10">
          <cell r="J10" t="str">
            <v>Salvador</v>
          </cell>
        </row>
        <row r="11">
          <cell r="J11" t="str">
            <v>Londrina</v>
          </cell>
        </row>
      </sheetData>
      <sheetData sheetId="3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49_PROCV"/>
      <sheetName val="Roteiro"/>
      <sheetName val="Resolvida"/>
      <sheetName val="pesquisa"/>
    </sheetNames>
    <sheetDataSet>
      <sheetData sheetId="0" refreshError="1"/>
      <sheetData sheetId="1" refreshError="1"/>
      <sheetData sheetId="2">
        <row r="6">
          <cell r="A6" t="str">
            <v>Cod</v>
          </cell>
          <cell r="B6" t="str">
            <v>Nome do Filme</v>
          </cell>
          <cell r="C6" t="str">
            <v>Tipo</v>
          </cell>
          <cell r="D6" t="str">
            <v>Diretor</v>
          </cell>
          <cell r="E6" t="str">
            <v>Prd</v>
          </cell>
          <cell r="F6" t="str">
            <v>Produtora</v>
          </cell>
          <cell r="G6" t="str">
            <v>Categoria</v>
          </cell>
          <cell r="H6" t="str">
            <v>QTD</v>
          </cell>
          <cell r="I6" t="str">
            <v>Preço</v>
          </cell>
          <cell r="J6" t="str">
            <v>Compra</v>
          </cell>
        </row>
        <row r="7">
          <cell r="A7" t="str">
            <v>A001</v>
          </cell>
          <cell r="B7" t="str">
            <v>A Filha do General</v>
          </cell>
          <cell r="C7" t="str">
            <v>Legendado</v>
          </cell>
          <cell r="D7" t="str">
            <v>Simon West</v>
          </cell>
          <cell r="E7" t="str">
            <v>TOU</v>
          </cell>
          <cell r="F7" t="str">
            <v>Touchstone</v>
          </cell>
          <cell r="G7" t="str">
            <v>Policial</v>
          </cell>
          <cell r="H7">
            <v>25</v>
          </cell>
          <cell r="I7">
            <v>24</v>
          </cell>
          <cell r="J7" t="str">
            <v>janeiro</v>
          </cell>
        </row>
        <row r="8">
          <cell r="A8" t="str">
            <v>A005</v>
          </cell>
          <cell r="B8" t="str">
            <v>A Identidade Bourne</v>
          </cell>
          <cell r="C8" t="str">
            <v>Dublado</v>
          </cell>
          <cell r="D8" t="str">
            <v>Michael Bay</v>
          </cell>
          <cell r="E8" t="str">
            <v>Fox</v>
          </cell>
          <cell r="F8" t="str">
            <v>Fox</v>
          </cell>
          <cell r="G8" t="str">
            <v>Ação</v>
          </cell>
          <cell r="H8">
            <v>19</v>
          </cell>
          <cell r="I8">
            <v>13.5</v>
          </cell>
          <cell r="J8" t="str">
            <v>junho</v>
          </cell>
        </row>
        <row r="9">
          <cell r="A9" t="str">
            <v>A004</v>
          </cell>
          <cell r="B9" t="str">
            <v>A Jurada</v>
          </cell>
          <cell r="C9" t="str">
            <v>Dublado</v>
          </cell>
          <cell r="D9" t="str">
            <v>Brian Gibson</v>
          </cell>
          <cell r="E9" t="str">
            <v>Col</v>
          </cell>
          <cell r="F9" t="str">
            <v>Columbia Tristar</v>
          </cell>
          <cell r="G9" t="str">
            <v>Policial</v>
          </cell>
          <cell r="H9">
            <v>29</v>
          </cell>
          <cell r="I9">
            <v>12.5</v>
          </cell>
          <cell r="J9" t="str">
            <v>maio</v>
          </cell>
        </row>
        <row r="10">
          <cell r="A10" t="str">
            <v>A002</v>
          </cell>
          <cell r="B10" t="str">
            <v>AI - Inteligencia Artificial</v>
          </cell>
          <cell r="C10" t="str">
            <v>Legendado</v>
          </cell>
          <cell r="D10" t="str">
            <v>Steven Spielberg</v>
          </cell>
          <cell r="E10" t="str">
            <v>War</v>
          </cell>
          <cell r="F10" t="str">
            <v>Warner</v>
          </cell>
          <cell r="G10" t="str">
            <v>Ficção</v>
          </cell>
          <cell r="H10">
            <v>35</v>
          </cell>
          <cell r="I10">
            <v>15.5</v>
          </cell>
          <cell r="J10" t="str">
            <v>março</v>
          </cell>
        </row>
        <row r="11">
          <cell r="A11" t="str">
            <v>A003</v>
          </cell>
          <cell r="B11" t="str">
            <v>Armageddon</v>
          </cell>
          <cell r="C11" t="str">
            <v>Dublado</v>
          </cell>
          <cell r="D11" t="str">
            <v>Michael Bay</v>
          </cell>
          <cell r="E11" t="str">
            <v>Tou</v>
          </cell>
          <cell r="F11" t="str">
            <v>Touchstone</v>
          </cell>
          <cell r="G11" t="str">
            <v>Ação</v>
          </cell>
          <cell r="H11">
            <v>27</v>
          </cell>
          <cell r="I11">
            <v>19.899999999999999</v>
          </cell>
          <cell r="J11" t="str">
            <v>abril</v>
          </cell>
        </row>
        <row r="12">
          <cell r="A12" t="str">
            <v>C002</v>
          </cell>
          <cell r="B12" t="str">
            <v>Chamas da Vingança</v>
          </cell>
          <cell r="C12" t="str">
            <v>Legendado</v>
          </cell>
          <cell r="D12" t="str">
            <v>Brian Gibson</v>
          </cell>
          <cell r="E12" t="str">
            <v>Par</v>
          </cell>
          <cell r="F12" t="str">
            <v>Paramount</v>
          </cell>
          <cell r="G12" t="str">
            <v>Ação</v>
          </cell>
          <cell r="H12">
            <v>20</v>
          </cell>
          <cell r="I12">
            <v>14.5</v>
          </cell>
          <cell r="J12" t="str">
            <v>janeiro</v>
          </cell>
        </row>
        <row r="13">
          <cell r="A13" t="str">
            <v>H001</v>
          </cell>
          <cell r="B13" t="str">
            <v>Homem Aranha</v>
          </cell>
          <cell r="C13" t="str">
            <v>Dublado</v>
          </cell>
          <cell r="D13" t="str">
            <v>Roland Emmerich</v>
          </cell>
          <cell r="E13" t="str">
            <v>Uni</v>
          </cell>
          <cell r="F13" t="str">
            <v>Universal</v>
          </cell>
          <cell r="G13" t="str">
            <v>Aventura</v>
          </cell>
          <cell r="H13">
            <v>21</v>
          </cell>
          <cell r="I13">
            <v>15.5</v>
          </cell>
          <cell r="J13" t="str">
            <v>março</v>
          </cell>
        </row>
        <row r="14">
          <cell r="A14" t="str">
            <v>J001</v>
          </cell>
          <cell r="B14" t="str">
            <v>Jurassic Park</v>
          </cell>
          <cell r="C14" t="str">
            <v>Legendado</v>
          </cell>
          <cell r="D14" t="str">
            <v>Steven Spielberg</v>
          </cell>
          <cell r="E14" t="str">
            <v>Uni</v>
          </cell>
          <cell r="F14" t="str">
            <v>Universal</v>
          </cell>
          <cell r="G14" t="str">
            <v>Aventura</v>
          </cell>
          <cell r="H14">
            <v>18</v>
          </cell>
          <cell r="I14">
            <v>22.9</v>
          </cell>
          <cell r="J14" t="str">
            <v>abril</v>
          </cell>
        </row>
        <row r="15">
          <cell r="A15" t="str">
            <v>M001</v>
          </cell>
          <cell r="B15" t="str">
            <v>Matrix</v>
          </cell>
          <cell r="C15" t="str">
            <v>Legendado</v>
          </cell>
          <cell r="D15" t="str">
            <v>Brian Gibson</v>
          </cell>
          <cell r="E15" t="str">
            <v>Par</v>
          </cell>
          <cell r="F15" t="str">
            <v>Paramount</v>
          </cell>
          <cell r="G15" t="str">
            <v>Ficção</v>
          </cell>
          <cell r="H15">
            <v>19</v>
          </cell>
          <cell r="I15">
            <v>28.8</v>
          </cell>
          <cell r="J15" t="str">
            <v>maio</v>
          </cell>
        </row>
        <row r="16">
          <cell r="A16" t="str">
            <v>O003</v>
          </cell>
          <cell r="B16" t="str">
            <v>O 6º dia</v>
          </cell>
          <cell r="C16" t="str">
            <v>Legendado</v>
          </cell>
          <cell r="D16" t="str">
            <v>Roger Spottiswood</v>
          </cell>
          <cell r="E16" t="str">
            <v>Col</v>
          </cell>
          <cell r="F16" t="str">
            <v>Columbia Tristar</v>
          </cell>
          <cell r="G16" t="str">
            <v>Ação</v>
          </cell>
          <cell r="H16">
            <v>18</v>
          </cell>
          <cell r="I16">
            <v>20.5</v>
          </cell>
          <cell r="J16" t="str">
            <v>janeiro</v>
          </cell>
        </row>
        <row r="17">
          <cell r="A17" t="str">
            <v>O002</v>
          </cell>
          <cell r="B17" t="str">
            <v>O Patriota</v>
          </cell>
          <cell r="C17" t="str">
            <v>Legendado</v>
          </cell>
          <cell r="D17" t="str">
            <v>Roland Emmerich</v>
          </cell>
          <cell r="E17" t="str">
            <v>Col</v>
          </cell>
          <cell r="F17" t="str">
            <v>Columbia Tristar</v>
          </cell>
          <cell r="G17" t="str">
            <v>Aventura</v>
          </cell>
          <cell r="H17">
            <v>36</v>
          </cell>
          <cell r="I17">
            <v>32.9</v>
          </cell>
          <cell r="J17" t="str">
            <v>junho</v>
          </cell>
        </row>
        <row r="18">
          <cell r="A18" t="str">
            <v>O009</v>
          </cell>
          <cell r="B18" t="str">
            <v>O Patriota 2</v>
          </cell>
          <cell r="C18" t="str">
            <v>Legendado</v>
          </cell>
          <cell r="D18" t="str">
            <v>Roland Emmerich</v>
          </cell>
          <cell r="E18" t="str">
            <v>Col</v>
          </cell>
          <cell r="F18" t="str">
            <v>Columbia Tristar</v>
          </cell>
          <cell r="G18" t="str">
            <v>Aventura</v>
          </cell>
          <cell r="H18">
            <v>36</v>
          </cell>
          <cell r="I18">
            <v>32.9</v>
          </cell>
          <cell r="J18" t="str">
            <v>junho</v>
          </cell>
        </row>
        <row r="19">
          <cell r="A19" t="str">
            <v>O004</v>
          </cell>
          <cell r="B19" t="str">
            <v>O Retorno da Mumia</v>
          </cell>
          <cell r="C19" t="str">
            <v>Legendado</v>
          </cell>
          <cell r="D19" t="str">
            <v>Stephen Sommers</v>
          </cell>
          <cell r="E19" t="str">
            <v>Uni</v>
          </cell>
          <cell r="F19" t="str">
            <v>Universal</v>
          </cell>
          <cell r="G19" t="str">
            <v>Suspense</v>
          </cell>
          <cell r="H19">
            <v>15</v>
          </cell>
          <cell r="I19">
            <v>15.5</v>
          </cell>
          <cell r="J19" t="str">
            <v>fevereiro</v>
          </cell>
        </row>
        <row r="20">
          <cell r="A20" t="str">
            <v>P001</v>
          </cell>
          <cell r="B20" t="str">
            <v>Pearl Harbor</v>
          </cell>
          <cell r="C20" t="str">
            <v>Dublado</v>
          </cell>
          <cell r="D20" t="str">
            <v>Michael Bay</v>
          </cell>
          <cell r="E20" t="str">
            <v>Tou</v>
          </cell>
          <cell r="F20" t="str">
            <v>Touchstone</v>
          </cell>
          <cell r="G20" t="str">
            <v>Drama</v>
          </cell>
          <cell r="H20">
            <v>42</v>
          </cell>
          <cell r="I20">
            <v>35</v>
          </cell>
          <cell r="J20" t="str">
            <v>março</v>
          </cell>
        </row>
        <row r="21">
          <cell r="A21" t="str">
            <v>P003</v>
          </cell>
          <cell r="B21" t="str">
            <v>Planeta dos Macacos</v>
          </cell>
          <cell r="C21" t="str">
            <v>Dublado</v>
          </cell>
          <cell r="D21" t="str">
            <v>Tim Burton</v>
          </cell>
          <cell r="E21" t="str">
            <v>Fox</v>
          </cell>
          <cell r="F21" t="str">
            <v>Fox</v>
          </cell>
          <cell r="G21" t="str">
            <v>Ação</v>
          </cell>
          <cell r="H21">
            <v>22</v>
          </cell>
          <cell r="I21">
            <v>27.5</v>
          </cell>
          <cell r="J21" t="str">
            <v>abril</v>
          </cell>
        </row>
        <row r="22">
          <cell r="A22" t="str">
            <v>S001</v>
          </cell>
          <cell r="B22" t="str">
            <v>Star Wars I</v>
          </cell>
          <cell r="C22" t="str">
            <v>Dublado</v>
          </cell>
          <cell r="D22" t="str">
            <v>George Lucas</v>
          </cell>
          <cell r="E22" t="str">
            <v>Fox</v>
          </cell>
          <cell r="F22" t="str">
            <v>Fox</v>
          </cell>
          <cell r="G22" t="str">
            <v>Ficção</v>
          </cell>
          <cell r="H22">
            <v>16</v>
          </cell>
          <cell r="I22">
            <v>39</v>
          </cell>
          <cell r="J22" t="str">
            <v>maio</v>
          </cell>
        </row>
        <row r="23">
          <cell r="A23" t="str">
            <v>S002</v>
          </cell>
          <cell r="B23" t="str">
            <v>Superman</v>
          </cell>
          <cell r="C23" t="str">
            <v>Legendado</v>
          </cell>
          <cell r="D23" t="str">
            <v>Roger Spottiswood</v>
          </cell>
          <cell r="E23" t="str">
            <v>Col</v>
          </cell>
          <cell r="F23" t="str">
            <v>Columbia Tristar</v>
          </cell>
          <cell r="G23" t="str">
            <v>Aventura</v>
          </cell>
          <cell r="H23">
            <v>17</v>
          </cell>
          <cell r="I23">
            <v>35</v>
          </cell>
          <cell r="J23" t="str">
            <v>julho</v>
          </cell>
        </row>
        <row r="24">
          <cell r="A24" t="str">
            <v>T001</v>
          </cell>
          <cell r="B24" t="str">
            <v>Tomb Raider</v>
          </cell>
          <cell r="C24" t="str">
            <v>Legendado</v>
          </cell>
          <cell r="D24" t="str">
            <v>Simon West</v>
          </cell>
          <cell r="E24" t="str">
            <v>Par</v>
          </cell>
          <cell r="F24" t="str">
            <v>Paramount</v>
          </cell>
          <cell r="G24" t="str">
            <v>Suspense</v>
          </cell>
          <cell r="H24">
            <v>12</v>
          </cell>
          <cell r="I24">
            <v>16</v>
          </cell>
          <cell r="J24" t="str">
            <v>agosto</v>
          </cell>
        </row>
      </sheetData>
      <sheetData sheetId="3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26_Se Carinhas"/>
      <sheetName val="Resolvida"/>
    </sheetNames>
    <sheetDataSet>
      <sheetData sheetId="0" refreshError="1"/>
      <sheetData sheetId="1">
        <row r="6">
          <cell r="H6" t="str">
            <v>Aprovado</v>
          </cell>
          <cell r="J6">
            <v>7</v>
          </cell>
        </row>
        <row r="7">
          <cell r="H7" t="str">
            <v>Recuperação</v>
          </cell>
          <cell r="J7">
            <v>5</v>
          </cell>
        </row>
        <row r="8">
          <cell r="H8" t="str">
            <v>Reprovado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20_Se Duplo"/>
      <sheetName val="Resolvida"/>
    </sheetNames>
    <sheetDataSet>
      <sheetData sheetId="0" refreshError="1"/>
      <sheetData sheetId="1">
        <row r="9">
          <cell r="H9">
            <v>7</v>
          </cell>
          <cell r="I9" t="str">
            <v>Aprovado</v>
          </cell>
        </row>
        <row r="10">
          <cell r="I10" t="str">
            <v>Recuperação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73_Filtro2"/>
      <sheetName val="Resolvida"/>
    </sheetNames>
    <sheetDataSet>
      <sheetData sheetId="0" refreshError="1"/>
      <sheetData sheetId="1">
        <row r="12">
          <cell r="A12" t="str">
            <v>Código</v>
          </cell>
          <cell r="B12" t="str">
            <v>Nome</v>
          </cell>
          <cell r="C12" t="str">
            <v>Cargo</v>
          </cell>
          <cell r="D12" t="str">
            <v>Data Adm.</v>
          </cell>
          <cell r="E12" t="str">
            <v>Salário</v>
          </cell>
        </row>
        <row r="13">
          <cell r="A13">
            <v>1793</v>
          </cell>
          <cell r="B13" t="str">
            <v>Aaron</v>
          </cell>
          <cell r="C13" t="str">
            <v>Assistente Administrativo</v>
          </cell>
          <cell r="D13">
            <v>33223</v>
          </cell>
          <cell r="E13">
            <v>785</v>
          </cell>
        </row>
        <row r="14">
          <cell r="A14">
            <v>1725</v>
          </cell>
          <cell r="B14" t="str">
            <v>Alex</v>
          </cell>
          <cell r="C14" t="str">
            <v>Gerente de Unidade</v>
          </cell>
          <cell r="D14">
            <v>28533</v>
          </cell>
          <cell r="E14">
            <v>3600</v>
          </cell>
        </row>
        <row r="15">
          <cell r="A15">
            <v>1531</v>
          </cell>
          <cell r="B15" t="str">
            <v>Alexandra</v>
          </cell>
          <cell r="C15" t="str">
            <v>Cientista Pesquisador</v>
          </cell>
          <cell r="D15">
            <v>31543</v>
          </cell>
          <cell r="E15">
            <v>6800</v>
          </cell>
        </row>
        <row r="16">
          <cell r="A16">
            <v>1360</v>
          </cell>
          <cell r="B16" t="str">
            <v>Alice</v>
          </cell>
          <cell r="C16" t="str">
            <v>Assistente de Grupo Administrativo</v>
          </cell>
          <cell r="D16">
            <v>32356</v>
          </cell>
          <cell r="E16">
            <v>1345</v>
          </cell>
        </row>
        <row r="17">
          <cell r="A17">
            <v>1153</v>
          </cell>
          <cell r="B17" t="str">
            <v>Allen</v>
          </cell>
          <cell r="C17" t="str">
            <v>Assistente de Grupo Administrativo</v>
          </cell>
          <cell r="D17">
            <v>32886</v>
          </cell>
          <cell r="E17">
            <v>1345</v>
          </cell>
        </row>
        <row r="18">
          <cell r="A18">
            <v>1068</v>
          </cell>
          <cell r="B18" t="str">
            <v>Alyssa</v>
          </cell>
          <cell r="C18" t="str">
            <v>Engenheiro Mecânico</v>
          </cell>
          <cell r="D18">
            <v>32032</v>
          </cell>
          <cell r="E18">
            <v>4500</v>
          </cell>
        </row>
        <row r="19">
          <cell r="A19">
            <v>1330</v>
          </cell>
          <cell r="B19" t="str">
            <v>Anna</v>
          </cell>
          <cell r="C19" t="str">
            <v>Contador</v>
          </cell>
          <cell r="D19">
            <v>32553</v>
          </cell>
          <cell r="E19">
            <v>3456</v>
          </cell>
        </row>
        <row r="20">
          <cell r="A20">
            <v>1154</v>
          </cell>
          <cell r="B20" t="str">
            <v>Ari</v>
          </cell>
          <cell r="C20" t="str">
            <v>Engenheiro de Software</v>
          </cell>
          <cell r="D20">
            <v>31965</v>
          </cell>
          <cell r="E20">
            <v>4500</v>
          </cell>
        </row>
        <row r="21">
          <cell r="A21">
            <v>1301</v>
          </cell>
          <cell r="B21" t="str">
            <v>Ariel</v>
          </cell>
          <cell r="C21" t="str">
            <v>Engenheiro Senior</v>
          </cell>
          <cell r="D21">
            <v>31421</v>
          </cell>
          <cell r="E21">
            <v>5000</v>
          </cell>
        </row>
        <row r="22">
          <cell r="A22">
            <v>1922</v>
          </cell>
          <cell r="B22" t="str">
            <v>Barbara</v>
          </cell>
          <cell r="C22" t="str">
            <v>Contador</v>
          </cell>
          <cell r="D22">
            <v>31751</v>
          </cell>
          <cell r="E22">
            <v>1100</v>
          </cell>
        </row>
        <row r="23">
          <cell r="A23">
            <v>1353</v>
          </cell>
          <cell r="B23" t="str">
            <v>Bill</v>
          </cell>
          <cell r="C23" t="str">
            <v>Cientista Chefe</v>
          </cell>
          <cell r="D23">
            <v>30204</v>
          </cell>
          <cell r="E23">
            <v>4500</v>
          </cell>
        </row>
        <row r="24">
          <cell r="A24">
            <v>1573</v>
          </cell>
          <cell r="B24" t="str">
            <v>Bob</v>
          </cell>
          <cell r="C24" t="str">
            <v>Contador</v>
          </cell>
          <cell r="D24">
            <v>32331</v>
          </cell>
          <cell r="E24">
            <v>3000</v>
          </cell>
        </row>
        <row r="25">
          <cell r="A25">
            <v>1302</v>
          </cell>
          <cell r="B25" t="str">
            <v>Bobby</v>
          </cell>
          <cell r="C25" t="str">
            <v>Gerente da Engenharia</v>
          </cell>
          <cell r="D25">
            <v>30892</v>
          </cell>
          <cell r="E25">
            <v>5000</v>
          </cell>
        </row>
        <row r="26">
          <cell r="A26">
            <v>1076</v>
          </cell>
          <cell r="B26" t="str">
            <v>Brad</v>
          </cell>
          <cell r="C26" t="str">
            <v>Engenheiro Chefe</v>
          </cell>
          <cell r="D26">
            <v>29066</v>
          </cell>
          <cell r="E26">
            <v>6000</v>
          </cell>
        </row>
        <row r="27">
          <cell r="A27">
            <v>1293</v>
          </cell>
          <cell r="B27" t="str">
            <v>Brent</v>
          </cell>
          <cell r="C27" t="str">
            <v>Técnico</v>
          </cell>
          <cell r="D27">
            <v>30939</v>
          </cell>
          <cell r="E27">
            <v>2300</v>
          </cell>
        </row>
        <row r="28">
          <cell r="A28">
            <v>1291</v>
          </cell>
          <cell r="B28" t="str">
            <v>Burt</v>
          </cell>
          <cell r="C28" t="str">
            <v>Assistente Administrativo</v>
          </cell>
          <cell r="D28">
            <v>31042</v>
          </cell>
          <cell r="E28">
            <v>2000</v>
          </cell>
        </row>
        <row r="29">
          <cell r="A29">
            <v>1969</v>
          </cell>
          <cell r="B29" t="str">
            <v>Cara</v>
          </cell>
          <cell r="C29" t="str">
            <v>Representante de Vendas</v>
          </cell>
          <cell r="D29">
            <v>32612</v>
          </cell>
          <cell r="E29">
            <v>3500</v>
          </cell>
        </row>
        <row r="30">
          <cell r="A30">
            <v>1949</v>
          </cell>
          <cell r="B30" t="str">
            <v>Carla</v>
          </cell>
          <cell r="C30" t="str">
            <v>Promotor de Marketing</v>
          </cell>
          <cell r="D30">
            <v>29871</v>
          </cell>
          <cell r="E30">
            <v>2000</v>
          </cell>
        </row>
        <row r="31">
          <cell r="A31">
            <v>1815</v>
          </cell>
          <cell r="B31" t="str">
            <v>Carolina</v>
          </cell>
          <cell r="C31" t="str">
            <v>Gerente da Engenharia</v>
          </cell>
          <cell r="D31">
            <v>29276</v>
          </cell>
          <cell r="E31">
            <v>3000</v>
          </cell>
        </row>
        <row r="32">
          <cell r="A32">
            <v>1696</v>
          </cell>
          <cell r="B32" t="str">
            <v>Catia</v>
          </cell>
          <cell r="C32" t="str">
            <v>Engenheiro Mecânico</v>
          </cell>
          <cell r="D32">
            <v>30967</v>
          </cell>
          <cell r="E32">
            <v>6200</v>
          </cell>
        </row>
        <row r="33">
          <cell r="A33">
            <v>1967</v>
          </cell>
          <cell r="B33" t="str">
            <v>Charles</v>
          </cell>
          <cell r="C33" t="str">
            <v>Representante de Vendas</v>
          </cell>
          <cell r="D33">
            <v>30054</v>
          </cell>
          <cell r="E33">
            <v>5000</v>
          </cell>
        </row>
        <row r="34">
          <cell r="A34">
            <v>1361</v>
          </cell>
          <cell r="B34" t="str">
            <v>Cindy</v>
          </cell>
          <cell r="C34" t="str">
            <v>Técnico</v>
          </cell>
          <cell r="D34">
            <v>32346</v>
          </cell>
          <cell r="E34">
            <v>1200</v>
          </cell>
        </row>
        <row r="35">
          <cell r="A35">
            <v>1814</v>
          </cell>
          <cell r="B35" t="str">
            <v>Daoud</v>
          </cell>
          <cell r="C35" t="str">
            <v>Assistente Técnico</v>
          </cell>
          <cell r="D35">
            <v>32571</v>
          </cell>
          <cell r="E35">
            <v>2000</v>
          </cell>
        </row>
        <row r="36">
          <cell r="A36">
            <v>1427</v>
          </cell>
          <cell r="B36" t="str">
            <v>Davi</v>
          </cell>
          <cell r="C36" t="str">
            <v>Cientista Chefe</v>
          </cell>
          <cell r="D36">
            <v>28368</v>
          </cell>
          <cell r="E36">
            <v>4500</v>
          </cell>
        </row>
        <row r="37">
          <cell r="A37">
            <v>1674</v>
          </cell>
          <cell r="B37" t="str">
            <v>David</v>
          </cell>
          <cell r="C37" t="str">
            <v>Assistente de Grupo Administrativo</v>
          </cell>
          <cell r="D37">
            <v>32971</v>
          </cell>
          <cell r="E37">
            <v>1235</v>
          </cell>
        </row>
        <row r="38">
          <cell r="A38">
            <v>1658</v>
          </cell>
          <cell r="B38" t="str">
            <v>Dennis</v>
          </cell>
          <cell r="C38" t="str">
            <v>Engenheiro de Software</v>
          </cell>
          <cell r="D38">
            <v>32972</v>
          </cell>
          <cell r="E38">
            <v>4800</v>
          </cell>
        </row>
        <row r="39">
          <cell r="A39">
            <v>1303</v>
          </cell>
          <cell r="B39" t="str">
            <v>Donaldo</v>
          </cell>
          <cell r="C39" t="str">
            <v>Engenheiro de Software</v>
          </cell>
          <cell r="D39">
            <v>32973</v>
          </cell>
          <cell r="E39">
            <v>3990</v>
          </cell>
        </row>
        <row r="40">
          <cell r="A40">
            <v>1695</v>
          </cell>
          <cell r="B40" t="str">
            <v>Edison</v>
          </cell>
          <cell r="C40" t="str">
            <v>Especialista de Projetos</v>
          </cell>
          <cell r="D40">
            <v>32974</v>
          </cell>
          <cell r="E40">
            <v>3900</v>
          </cell>
        </row>
        <row r="41">
          <cell r="A41">
            <v>1792</v>
          </cell>
          <cell r="B41" t="str">
            <v>Eileen</v>
          </cell>
          <cell r="C41" t="str">
            <v>Especialista de Projetos</v>
          </cell>
          <cell r="D41">
            <v>32975</v>
          </cell>
          <cell r="E41">
            <v>3698</v>
          </cell>
        </row>
        <row r="42">
          <cell r="A42">
            <v>1079</v>
          </cell>
          <cell r="B42" t="str">
            <v>Ellen</v>
          </cell>
          <cell r="C42" t="str">
            <v>Assistente Administrativo</v>
          </cell>
          <cell r="D42">
            <v>32976</v>
          </cell>
          <cell r="E42">
            <v>845</v>
          </cell>
        </row>
        <row r="43">
          <cell r="A43">
            <v>1932</v>
          </cell>
          <cell r="B43" t="str">
            <v>Ellen</v>
          </cell>
          <cell r="C43" t="str">
            <v>Contador</v>
          </cell>
          <cell r="D43">
            <v>32977</v>
          </cell>
          <cell r="E43">
            <v>3000</v>
          </cell>
        </row>
        <row r="44">
          <cell r="A44">
            <v>1310</v>
          </cell>
          <cell r="B44" t="str">
            <v>Ellen</v>
          </cell>
          <cell r="C44" t="str">
            <v>Técnico</v>
          </cell>
          <cell r="D44">
            <v>32978</v>
          </cell>
          <cell r="E44">
            <v>2600</v>
          </cell>
        </row>
        <row r="45">
          <cell r="A45">
            <v>1677</v>
          </cell>
          <cell r="B45" t="str">
            <v>Erico</v>
          </cell>
          <cell r="C45" t="str">
            <v>Cientista Pesquisador</v>
          </cell>
          <cell r="D45">
            <v>32979</v>
          </cell>
          <cell r="E45">
            <v>12000</v>
          </cell>
        </row>
        <row r="46">
          <cell r="A46">
            <v>1968</v>
          </cell>
          <cell r="B46" t="str">
            <v>Erika</v>
          </cell>
          <cell r="C46" t="str">
            <v>Gerente Administrativo</v>
          </cell>
          <cell r="D46">
            <v>32980</v>
          </cell>
          <cell r="E46">
            <v>3200</v>
          </cell>
        </row>
        <row r="47">
          <cell r="A47">
            <v>1558</v>
          </cell>
          <cell r="B47" t="str">
            <v>Evelina</v>
          </cell>
          <cell r="C47" t="str">
            <v>Promotor de Marketing</v>
          </cell>
          <cell r="D47">
            <v>32981</v>
          </cell>
          <cell r="E47">
            <v>1789</v>
          </cell>
        </row>
        <row r="48">
          <cell r="A48">
            <v>1370</v>
          </cell>
          <cell r="B48" t="str">
            <v>Everett</v>
          </cell>
          <cell r="C48" t="str">
            <v>Cientista Pesquisador</v>
          </cell>
          <cell r="D48">
            <v>32982</v>
          </cell>
          <cell r="E48">
            <v>6000</v>
          </cell>
        </row>
        <row r="49">
          <cell r="A49">
            <v>1967</v>
          </cell>
          <cell r="B49" t="str">
            <v>Felicio</v>
          </cell>
          <cell r="C49" t="str">
            <v>Assistente Administrativo</v>
          </cell>
          <cell r="D49">
            <v>32983</v>
          </cell>
          <cell r="E49">
            <v>900</v>
          </cell>
        </row>
        <row r="50">
          <cell r="A50">
            <v>1080</v>
          </cell>
          <cell r="B50" t="str">
            <v>Felicio</v>
          </cell>
          <cell r="C50" t="str">
            <v>Cientista Pesquisador</v>
          </cell>
          <cell r="D50">
            <v>32984</v>
          </cell>
          <cell r="E50">
            <v>3000</v>
          </cell>
        </row>
        <row r="51">
          <cell r="A51">
            <v>1674</v>
          </cell>
          <cell r="B51" t="str">
            <v>Francisco</v>
          </cell>
          <cell r="C51" t="str">
            <v>Assistente Contábil</v>
          </cell>
          <cell r="D51">
            <v>32985</v>
          </cell>
          <cell r="E51">
            <v>1400</v>
          </cell>
        </row>
        <row r="52">
          <cell r="A52">
            <v>1284</v>
          </cell>
          <cell r="B52" t="str">
            <v>Francisco</v>
          </cell>
          <cell r="C52" t="str">
            <v>Promotor de Marketing</v>
          </cell>
          <cell r="D52">
            <v>32986</v>
          </cell>
          <cell r="E52">
            <v>1564</v>
          </cell>
        </row>
        <row r="53">
          <cell r="A53">
            <v>1067</v>
          </cell>
          <cell r="B53" t="str">
            <v>Gail</v>
          </cell>
          <cell r="C53" t="str">
            <v>Contador</v>
          </cell>
          <cell r="D53">
            <v>32987</v>
          </cell>
          <cell r="E53">
            <v>2500</v>
          </cell>
        </row>
        <row r="54">
          <cell r="A54">
            <v>1011</v>
          </cell>
          <cell r="B54" t="str">
            <v>Hazel</v>
          </cell>
          <cell r="C54" t="str">
            <v>Assistente Contábil</v>
          </cell>
          <cell r="D54">
            <v>32988</v>
          </cell>
          <cell r="E54">
            <v>1345</v>
          </cell>
        </row>
        <row r="55">
          <cell r="A55">
            <v>1962</v>
          </cell>
          <cell r="B55" t="str">
            <v>Hilda</v>
          </cell>
          <cell r="C55" t="str">
            <v>Representante de Vendas</v>
          </cell>
          <cell r="D55">
            <v>32989</v>
          </cell>
          <cell r="E55">
            <v>1000</v>
          </cell>
        </row>
        <row r="56">
          <cell r="A56">
            <v>1054</v>
          </cell>
          <cell r="B56" t="str">
            <v>Howard</v>
          </cell>
          <cell r="C56" t="str">
            <v>Assistente de Projetos</v>
          </cell>
          <cell r="D56">
            <v>32990</v>
          </cell>
          <cell r="E56">
            <v>785</v>
          </cell>
        </row>
        <row r="57">
          <cell r="A57">
            <v>1530</v>
          </cell>
          <cell r="B57" t="str">
            <v>Iain</v>
          </cell>
          <cell r="C57" t="str">
            <v>Assistente Administrativo</v>
          </cell>
          <cell r="D57">
            <v>32991</v>
          </cell>
          <cell r="E57">
            <v>899</v>
          </cell>
        </row>
        <row r="58">
          <cell r="A58">
            <v>1723</v>
          </cell>
          <cell r="B58" t="str">
            <v>Isolda</v>
          </cell>
          <cell r="C58" t="str">
            <v>Contador</v>
          </cell>
          <cell r="D58">
            <v>32992</v>
          </cell>
          <cell r="E58">
            <v>2300</v>
          </cell>
        </row>
        <row r="59">
          <cell r="A59">
            <v>1675</v>
          </cell>
          <cell r="B59" t="str">
            <v>Jaime</v>
          </cell>
          <cell r="C59" t="str">
            <v>Assistente de Grupo Administrativo</v>
          </cell>
          <cell r="D59">
            <v>32993</v>
          </cell>
          <cell r="E59">
            <v>1400</v>
          </cell>
        </row>
        <row r="60">
          <cell r="A60">
            <v>1675</v>
          </cell>
          <cell r="B60" t="str">
            <v>Janete</v>
          </cell>
          <cell r="C60" t="str">
            <v>Representante de Vendas</v>
          </cell>
          <cell r="D60">
            <v>32994</v>
          </cell>
          <cell r="E60">
            <v>5000</v>
          </cell>
        </row>
        <row r="61">
          <cell r="A61">
            <v>1676</v>
          </cell>
          <cell r="B61" t="str">
            <v>Jason</v>
          </cell>
          <cell r="C61" t="str">
            <v>Assistente Administrativo</v>
          </cell>
          <cell r="D61">
            <v>32995</v>
          </cell>
          <cell r="E61">
            <v>890</v>
          </cell>
        </row>
        <row r="62">
          <cell r="A62">
            <v>1978</v>
          </cell>
          <cell r="B62" t="str">
            <v>Jay</v>
          </cell>
          <cell r="C62" t="str">
            <v>Engenheiro Chefe</v>
          </cell>
          <cell r="D62">
            <v>32996</v>
          </cell>
          <cell r="E62">
            <v>7600</v>
          </cell>
        </row>
        <row r="63">
          <cell r="A63">
            <v>1960</v>
          </cell>
          <cell r="B63" t="str">
            <v>Jean</v>
          </cell>
          <cell r="C63" t="str">
            <v>Assistente de Grupo Administrativo</v>
          </cell>
          <cell r="D63">
            <v>32997</v>
          </cell>
          <cell r="E63">
            <v>1200</v>
          </cell>
        </row>
        <row r="64">
          <cell r="A64">
            <v>1169</v>
          </cell>
          <cell r="B64" t="str">
            <v>Jeremias</v>
          </cell>
          <cell r="C64" t="str">
            <v>Engenheiro de Software</v>
          </cell>
          <cell r="D64">
            <v>32998</v>
          </cell>
          <cell r="E64">
            <v>6000</v>
          </cell>
        </row>
        <row r="65">
          <cell r="A65">
            <v>1510</v>
          </cell>
          <cell r="B65" t="str">
            <v>Jessica</v>
          </cell>
          <cell r="C65" t="str">
            <v>Engenheiro Mecânico</v>
          </cell>
          <cell r="D65">
            <v>32999</v>
          </cell>
          <cell r="E65">
            <v>6300</v>
          </cell>
        </row>
        <row r="66">
          <cell r="A66">
            <v>1056</v>
          </cell>
          <cell r="B66" t="str">
            <v>José</v>
          </cell>
          <cell r="C66" t="str">
            <v>Gerente de Unidade</v>
          </cell>
          <cell r="D66">
            <v>33000</v>
          </cell>
          <cell r="E66">
            <v>4600</v>
          </cell>
        </row>
        <row r="67">
          <cell r="A67">
            <v>1428</v>
          </cell>
          <cell r="B67" t="str">
            <v>Julio</v>
          </cell>
          <cell r="C67" t="str">
            <v>Engenheiro Senior</v>
          </cell>
          <cell r="D67">
            <v>33001</v>
          </cell>
          <cell r="E67">
            <v>6000</v>
          </cell>
        </row>
        <row r="68">
          <cell r="A68">
            <v>1517</v>
          </cell>
          <cell r="B68" t="str">
            <v>Karen</v>
          </cell>
          <cell r="C68" t="str">
            <v>Engenheiro de Produção</v>
          </cell>
          <cell r="D68">
            <v>33002</v>
          </cell>
          <cell r="E68">
            <v>5000</v>
          </cell>
        </row>
        <row r="69">
          <cell r="A69">
            <v>1556</v>
          </cell>
          <cell r="B69" t="str">
            <v>Karen</v>
          </cell>
          <cell r="C69" t="str">
            <v>Técnico</v>
          </cell>
          <cell r="D69">
            <v>33003</v>
          </cell>
          <cell r="E69">
            <v>2300</v>
          </cell>
        </row>
        <row r="70">
          <cell r="A70">
            <v>1078</v>
          </cell>
          <cell r="B70" t="str">
            <v>Kendrick</v>
          </cell>
          <cell r="C70" t="str">
            <v>Assistente Administrativo</v>
          </cell>
          <cell r="D70">
            <v>33004</v>
          </cell>
          <cell r="E70">
            <v>923</v>
          </cell>
        </row>
        <row r="71">
          <cell r="A71">
            <v>1961</v>
          </cell>
          <cell r="B71" t="str">
            <v>Kristina</v>
          </cell>
          <cell r="C71" t="str">
            <v>Assistente Administrativo</v>
          </cell>
          <cell r="D71">
            <v>33005</v>
          </cell>
          <cell r="E71">
            <v>1100</v>
          </cell>
        </row>
        <row r="72">
          <cell r="A72">
            <v>1975</v>
          </cell>
          <cell r="B72" t="str">
            <v>Lauro</v>
          </cell>
          <cell r="C72" t="str">
            <v>Assistente Contábil</v>
          </cell>
          <cell r="D72">
            <v>33006</v>
          </cell>
          <cell r="E72">
            <v>1200</v>
          </cell>
        </row>
        <row r="73">
          <cell r="A73">
            <v>1518</v>
          </cell>
          <cell r="B73" t="str">
            <v>Leslie</v>
          </cell>
          <cell r="C73" t="str">
            <v>Engenheiro de Software</v>
          </cell>
          <cell r="D73">
            <v>33007</v>
          </cell>
          <cell r="E73">
            <v>5100</v>
          </cell>
        </row>
        <row r="74">
          <cell r="A74">
            <v>1290</v>
          </cell>
          <cell r="B74" t="str">
            <v>Linda</v>
          </cell>
          <cell r="C74" t="str">
            <v>Assistente Administrativo</v>
          </cell>
          <cell r="D74">
            <v>33008</v>
          </cell>
          <cell r="E74">
            <v>1250</v>
          </cell>
        </row>
        <row r="75">
          <cell r="A75">
            <v>1557</v>
          </cell>
          <cell r="B75" t="str">
            <v>Lisa</v>
          </cell>
          <cell r="C75" t="str">
            <v>Assistente Administrativo</v>
          </cell>
          <cell r="D75">
            <v>33009</v>
          </cell>
          <cell r="E75">
            <v>980</v>
          </cell>
        </row>
        <row r="76">
          <cell r="A76">
            <v>1352</v>
          </cell>
          <cell r="B76" t="str">
            <v>Lisa</v>
          </cell>
          <cell r="C76" t="str">
            <v>Assistente Técnico</v>
          </cell>
          <cell r="D76">
            <v>33010</v>
          </cell>
          <cell r="E76">
            <v>2100</v>
          </cell>
        </row>
        <row r="77">
          <cell r="A77">
            <v>1923</v>
          </cell>
          <cell r="B77" t="str">
            <v>Lisa</v>
          </cell>
          <cell r="C77" t="str">
            <v>Promotor de Marketing</v>
          </cell>
          <cell r="D77">
            <v>33011</v>
          </cell>
          <cell r="E77">
            <v>1300</v>
          </cell>
        </row>
        <row r="78">
          <cell r="A78">
            <v>1572</v>
          </cell>
          <cell r="B78" t="str">
            <v>Lise-Anne</v>
          </cell>
          <cell r="C78" t="str">
            <v>Técnico</v>
          </cell>
          <cell r="D78">
            <v>33012</v>
          </cell>
          <cell r="E78">
            <v>1312</v>
          </cell>
        </row>
        <row r="79">
          <cell r="A79">
            <v>1012</v>
          </cell>
          <cell r="B79" t="str">
            <v>Liza</v>
          </cell>
          <cell r="C79" t="str">
            <v>Engenheiro Mecânico</v>
          </cell>
          <cell r="D79">
            <v>33013</v>
          </cell>
          <cell r="E79">
            <v>4560</v>
          </cell>
        </row>
        <row r="80">
          <cell r="A80">
            <v>1794</v>
          </cell>
          <cell r="B80" t="str">
            <v>Malcolm</v>
          </cell>
          <cell r="C80" t="str">
            <v>Promotor de Marketing</v>
          </cell>
          <cell r="D80">
            <v>33014</v>
          </cell>
          <cell r="E80">
            <v>1600</v>
          </cell>
        </row>
        <row r="81">
          <cell r="A81">
            <v>1331</v>
          </cell>
          <cell r="B81" t="str">
            <v>Maria</v>
          </cell>
          <cell r="C81" t="str">
            <v>Engenheiro de Software</v>
          </cell>
          <cell r="D81">
            <v>33015</v>
          </cell>
          <cell r="E81">
            <v>6000</v>
          </cell>
        </row>
        <row r="82">
          <cell r="A82">
            <v>1152</v>
          </cell>
          <cell r="B82" t="str">
            <v>Mark</v>
          </cell>
          <cell r="C82" t="str">
            <v>Assistente Contábil</v>
          </cell>
          <cell r="D82">
            <v>33016</v>
          </cell>
          <cell r="E82">
            <v>1845</v>
          </cell>
        </row>
        <row r="83">
          <cell r="A83">
            <v>1724</v>
          </cell>
          <cell r="B83" t="str">
            <v>Mark</v>
          </cell>
          <cell r="C83" t="str">
            <v>Promotor de Marketing</v>
          </cell>
          <cell r="D83">
            <v>33017</v>
          </cell>
          <cell r="E83">
            <v>2100</v>
          </cell>
        </row>
        <row r="84">
          <cell r="A84">
            <v>1292</v>
          </cell>
          <cell r="B84" t="str">
            <v>Matthias</v>
          </cell>
          <cell r="C84" t="str">
            <v>Representante de Vendas</v>
          </cell>
          <cell r="D84">
            <v>33018</v>
          </cell>
          <cell r="E84">
            <v>3450</v>
          </cell>
        </row>
        <row r="85">
          <cell r="A85">
            <v>1055</v>
          </cell>
          <cell r="B85" t="str">
            <v>Maximo</v>
          </cell>
          <cell r="C85" t="str">
            <v>Assistente de Grupo Administrativo</v>
          </cell>
          <cell r="D85">
            <v>33019</v>
          </cell>
          <cell r="E85">
            <v>1000</v>
          </cell>
        </row>
        <row r="86">
          <cell r="A86">
            <v>1907</v>
          </cell>
          <cell r="B86" t="str">
            <v>Megan</v>
          </cell>
          <cell r="C86" t="str">
            <v>Assistente de Grupo Administrativo</v>
          </cell>
          <cell r="D86">
            <v>33020</v>
          </cell>
          <cell r="E86">
            <v>852</v>
          </cell>
        </row>
        <row r="87">
          <cell r="A87">
            <v>1758</v>
          </cell>
          <cell r="B87" t="str">
            <v>Melissa</v>
          </cell>
          <cell r="C87" t="str">
            <v>Especialista de Projetos</v>
          </cell>
          <cell r="D87">
            <v>33021</v>
          </cell>
          <cell r="E87">
            <v>3200</v>
          </cell>
        </row>
        <row r="88">
          <cell r="A88">
            <v>1908</v>
          </cell>
          <cell r="B88" t="str">
            <v>Melissa</v>
          </cell>
          <cell r="C88" t="str">
            <v>Gerente de Unidade</v>
          </cell>
          <cell r="D88">
            <v>33022</v>
          </cell>
          <cell r="E88">
            <v>4000</v>
          </cell>
        </row>
        <row r="89">
          <cell r="A89">
            <v>1816</v>
          </cell>
          <cell r="B89" t="str">
            <v>Michael</v>
          </cell>
          <cell r="C89" t="str">
            <v>Engenheiro de Software</v>
          </cell>
          <cell r="D89">
            <v>33023</v>
          </cell>
          <cell r="E89">
            <v>6234</v>
          </cell>
        </row>
        <row r="90">
          <cell r="A90">
            <v>1334</v>
          </cell>
          <cell r="B90" t="str">
            <v>Midori</v>
          </cell>
          <cell r="C90" t="str">
            <v>Assistente de Grupo Administrativo</v>
          </cell>
          <cell r="D90">
            <v>33024</v>
          </cell>
          <cell r="E90">
            <v>890</v>
          </cell>
        </row>
        <row r="91">
          <cell r="A91">
            <v>1933</v>
          </cell>
          <cell r="B91" t="str">
            <v>Miguel</v>
          </cell>
          <cell r="C91" t="str">
            <v>Engenheiro Senior</v>
          </cell>
          <cell r="D91">
            <v>33025</v>
          </cell>
          <cell r="E91">
            <v>5000</v>
          </cell>
        </row>
        <row r="92">
          <cell r="A92">
            <v>1977</v>
          </cell>
          <cell r="B92" t="str">
            <v>Mollie</v>
          </cell>
          <cell r="C92" t="str">
            <v>Especialista de Projetos</v>
          </cell>
          <cell r="D92">
            <v>33026</v>
          </cell>
          <cell r="E92">
            <v>4800</v>
          </cell>
        </row>
        <row r="93">
          <cell r="A93">
            <v>1311</v>
          </cell>
          <cell r="B93" t="str">
            <v>Natan</v>
          </cell>
          <cell r="C93" t="str">
            <v>Promotor de Marketing</v>
          </cell>
          <cell r="D93">
            <v>33027</v>
          </cell>
          <cell r="E93">
            <v>2000</v>
          </cell>
        </row>
        <row r="94">
          <cell r="A94">
            <v>1509</v>
          </cell>
          <cell r="B94" t="str">
            <v>Pamela</v>
          </cell>
          <cell r="C94" t="str">
            <v>Assistente Administrativo</v>
          </cell>
          <cell r="D94">
            <v>33028</v>
          </cell>
          <cell r="E94">
            <v>1400</v>
          </cell>
        </row>
        <row r="95">
          <cell r="A95">
            <v>1426</v>
          </cell>
          <cell r="B95" t="str">
            <v>Peter</v>
          </cell>
          <cell r="C95" t="str">
            <v>Representante de Vendas</v>
          </cell>
          <cell r="D95">
            <v>33029</v>
          </cell>
          <cell r="E95">
            <v>5400</v>
          </cell>
        </row>
        <row r="96">
          <cell r="A96">
            <v>1300</v>
          </cell>
          <cell r="B96" t="str">
            <v>Phillipe</v>
          </cell>
          <cell r="C96" t="str">
            <v>Contador</v>
          </cell>
          <cell r="D96">
            <v>33030</v>
          </cell>
          <cell r="E96">
            <v>4500</v>
          </cell>
        </row>
        <row r="97">
          <cell r="A97">
            <v>1285</v>
          </cell>
          <cell r="B97" t="str">
            <v>Ralph</v>
          </cell>
          <cell r="C97" t="str">
            <v>Gerente de Grupo</v>
          </cell>
          <cell r="D97">
            <v>33031</v>
          </cell>
          <cell r="E97">
            <v>425</v>
          </cell>
        </row>
        <row r="98">
          <cell r="A98">
            <v>1301</v>
          </cell>
          <cell r="B98" t="str">
            <v>Randy</v>
          </cell>
          <cell r="C98" t="str">
            <v>Assistente Administrativo</v>
          </cell>
          <cell r="D98">
            <v>33032</v>
          </cell>
          <cell r="E98">
            <v>1258</v>
          </cell>
        </row>
        <row r="99">
          <cell r="A99">
            <v>1950</v>
          </cell>
          <cell r="B99" t="str">
            <v>Rica</v>
          </cell>
          <cell r="C99" t="str">
            <v>Gerente de Grupo</v>
          </cell>
          <cell r="D99">
            <v>33033</v>
          </cell>
          <cell r="E99">
            <v>3800</v>
          </cell>
        </row>
        <row r="100">
          <cell r="A100">
            <v>1976</v>
          </cell>
          <cell r="B100" t="str">
            <v>Roberto</v>
          </cell>
          <cell r="C100" t="str">
            <v>Assistente de Grupo Administrativo</v>
          </cell>
          <cell r="D100">
            <v>33034</v>
          </cell>
          <cell r="E100">
            <v>1600</v>
          </cell>
        </row>
        <row r="101">
          <cell r="A101">
            <v>1041</v>
          </cell>
          <cell r="B101" t="str">
            <v>Roberto</v>
          </cell>
          <cell r="C101" t="str">
            <v>Assistente de Grupo Administrativo</v>
          </cell>
          <cell r="D101">
            <v>33035</v>
          </cell>
          <cell r="E101">
            <v>1000</v>
          </cell>
        </row>
        <row r="102">
          <cell r="A102">
            <v>1294</v>
          </cell>
          <cell r="B102" t="str">
            <v>Roberto</v>
          </cell>
          <cell r="C102" t="str">
            <v>Engenheiro Mecânico</v>
          </cell>
          <cell r="D102">
            <v>33036</v>
          </cell>
          <cell r="E102">
            <v>4000</v>
          </cell>
        </row>
        <row r="103">
          <cell r="A103">
            <v>1966</v>
          </cell>
          <cell r="B103" t="str">
            <v>Robinson</v>
          </cell>
          <cell r="C103" t="str">
            <v>Assistente de Projetos</v>
          </cell>
          <cell r="D103">
            <v>33037</v>
          </cell>
          <cell r="E103">
            <v>1654</v>
          </cell>
        </row>
        <row r="104">
          <cell r="A104">
            <v>1657</v>
          </cell>
          <cell r="B104" t="str">
            <v>Rose</v>
          </cell>
          <cell r="C104" t="str">
            <v>Contador</v>
          </cell>
          <cell r="D104">
            <v>33038</v>
          </cell>
          <cell r="E104">
            <v>3000</v>
          </cell>
        </row>
        <row r="105">
          <cell r="A105">
            <v>1906</v>
          </cell>
          <cell r="B105" t="str">
            <v>Rowena</v>
          </cell>
          <cell r="C105" t="str">
            <v>Assistente Administrativo</v>
          </cell>
          <cell r="D105">
            <v>33039</v>
          </cell>
          <cell r="E105">
            <v>1000</v>
          </cell>
        </row>
        <row r="106">
          <cell r="A106">
            <v>1574</v>
          </cell>
          <cell r="B106" t="str">
            <v>Samuel</v>
          </cell>
          <cell r="C106" t="str">
            <v>Engenheiro Senior</v>
          </cell>
          <cell r="D106">
            <v>33040</v>
          </cell>
          <cell r="E106">
            <v>7465</v>
          </cell>
        </row>
        <row r="107">
          <cell r="A107">
            <v>1725</v>
          </cell>
          <cell r="B107" t="str">
            <v>Samuel</v>
          </cell>
          <cell r="C107" t="str">
            <v>Gerente de Grupo</v>
          </cell>
          <cell r="D107">
            <v>33041</v>
          </cell>
          <cell r="E107">
            <v>3100</v>
          </cell>
        </row>
        <row r="108">
          <cell r="A108">
            <v>1167</v>
          </cell>
          <cell r="B108" t="str">
            <v>Samuel</v>
          </cell>
          <cell r="C108" t="str">
            <v>Representante de Vendas</v>
          </cell>
          <cell r="D108">
            <v>33042</v>
          </cell>
          <cell r="E108">
            <v>10000</v>
          </cell>
        </row>
        <row r="109">
          <cell r="A109">
            <v>1299</v>
          </cell>
          <cell r="B109" t="str">
            <v>Sandra</v>
          </cell>
          <cell r="C109" t="str">
            <v>Assistente Técnico</v>
          </cell>
          <cell r="D109">
            <v>33043</v>
          </cell>
          <cell r="E109">
            <v>1845</v>
          </cell>
        </row>
        <row r="110">
          <cell r="A110">
            <v>1369</v>
          </cell>
          <cell r="B110" t="str">
            <v>Sandra</v>
          </cell>
          <cell r="C110" t="str">
            <v>Cientista Chefe</v>
          </cell>
          <cell r="D110">
            <v>33044</v>
          </cell>
          <cell r="E110">
            <v>7000</v>
          </cell>
        </row>
        <row r="111">
          <cell r="A111">
            <v>1968</v>
          </cell>
          <cell r="B111" t="str">
            <v>Sara</v>
          </cell>
          <cell r="C111" t="str">
            <v>Promotor de Marketing</v>
          </cell>
          <cell r="D111">
            <v>33045</v>
          </cell>
          <cell r="E111">
            <v>1325</v>
          </cell>
        </row>
        <row r="112">
          <cell r="A112">
            <v>1359</v>
          </cell>
          <cell r="B112" t="str">
            <v>Sara</v>
          </cell>
          <cell r="C112" t="str">
            <v>Promotor de Marketing</v>
          </cell>
          <cell r="D112">
            <v>33046</v>
          </cell>
          <cell r="E112">
            <v>1321</v>
          </cell>
        </row>
        <row r="113">
          <cell r="A113">
            <v>1673</v>
          </cell>
          <cell r="B113" t="str">
            <v>Sherrie</v>
          </cell>
          <cell r="C113" t="str">
            <v>Assistente Administrativo</v>
          </cell>
          <cell r="D113">
            <v>33047</v>
          </cell>
          <cell r="E113">
            <v>1345</v>
          </cell>
        </row>
        <row r="114">
          <cell r="A114">
            <v>1075</v>
          </cell>
          <cell r="B114" t="str">
            <v>Sheryl</v>
          </cell>
          <cell r="C114" t="str">
            <v>Assistente de Projetos</v>
          </cell>
          <cell r="D114">
            <v>33048</v>
          </cell>
          <cell r="E114">
            <v>1550</v>
          </cell>
        </row>
        <row r="115">
          <cell r="A115">
            <v>1759</v>
          </cell>
          <cell r="B115" t="str">
            <v>Stephanie</v>
          </cell>
          <cell r="C115" t="str">
            <v>Engenheiro Chefe</v>
          </cell>
          <cell r="D115">
            <v>33049</v>
          </cell>
          <cell r="E115">
            <v>7800</v>
          </cell>
        </row>
        <row r="116">
          <cell r="A116">
            <v>1724</v>
          </cell>
          <cell r="B116" t="str">
            <v>Steven</v>
          </cell>
          <cell r="C116" t="str">
            <v>Assistente de Grupo Administrativo</v>
          </cell>
          <cell r="D116">
            <v>33050</v>
          </cell>
          <cell r="E116">
            <v>1230</v>
          </cell>
        </row>
        <row r="117">
          <cell r="A117">
            <v>1354</v>
          </cell>
          <cell r="B117" t="str">
            <v>Susana</v>
          </cell>
          <cell r="C117" t="str">
            <v>Engenheiro Senior</v>
          </cell>
          <cell r="D117">
            <v>33051</v>
          </cell>
          <cell r="E117">
            <v>5328</v>
          </cell>
        </row>
        <row r="118">
          <cell r="A118">
            <v>1333</v>
          </cell>
          <cell r="B118" t="str">
            <v>Tadeu</v>
          </cell>
          <cell r="C118" t="str">
            <v>Técnico</v>
          </cell>
          <cell r="D118">
            <v>33052</v>
          </cell>
          <cell r="E118">
            <v>2450</v>
          </cell>
        </row>
        <row r="119">
          <cell r="A119">
            <v>1368</v>
          </cell>
          <cell r="B119" t="str">
            <v>Tammy</v>
          </cell>
          <cell r="C119" t="str">
            <v>Assistente Administrativo</v>
          </cell>
          <cell r="D119">
            <v>33053</v>
          </cell>
          <cell r="E119">
            <v>890</v>
          </cell>
        </row>
        <row r="120">
          <cell r="A120">
            <v>1656</v>
          </cell>
          <cell r="B120" t="str">
            <v>Theodoro</v>
          </cell>
          <cell r="C120" t="str">
            <v>Assistente Administrativo</v>
          </cell>
          <cell r="D120">
            <v>33054</v>
          </cell>
          <cell r="E120">
            <v>980</v>
          </cell>
        </row>
        <row r="121">
          <cell r="A121">
            <v>1516</v>
          </cell>
          <cell r="B121" t="str">
            <v>Tom</v>
          </cell>
          <cell r="C121" t="str">
            <v>Assistente Contábil</v>
          </cell>
          <cell r="D121">
            <v>33055</v>
          </cell>
          <cell r="E121">
            <v>1700</v>
          </cell>
        </row>
        <row r="122">
          <cell r="A122">
            <v>1529</v>
          </cell>
          <cell r="B122" t="str">
            <v>Tommie</v>
          </cell>
          <cell r="C122" t="str">
            <v>Assistente Administrativo</v>
          </cell>
          <cell r="D122">
            <v>33056</v>
          </cell>
          <cell r="E122">
            <v>900</v>
          </cell>
        </row>
        <row r="123">
          <cell r="A123">
            <v>1168</v>
          </cell>
          <cell r="B123" t="str">
            <v>Toninho</v>
          </cell>
          <cell r="C123" t="str">
            <v>Assistente de Grupo Administrativo</v>
          </cell>
          <cell r="D123">
            <v>33057</v>
          </cell>
          <cell r="E123">
            <v>1750</v>
          </cell>
        </row>
        <row r="124">
          <cell r="A124">
            <v>1329</v>
          </cell>
          <cell r="B124" t="str">
            <v>Tuome</v>
          </cell>
          <cell r="C124" t="str">
            <v>Técnico</v>
          </cell>
          <cell r="D124">
            <v>33058</v>
          </cell>
          <cell r="E124">
            <v>2600</v>
          </cell>
        </row>
        <row r="125">
          <cell r="A125">
            <v>1931</v>
          </cell>
          <cell r="B125" t="str">
            <v>Ursula</v>
          </cell>
          <cell r="C125" t="str">
            <v>Contador</v>
          </cell>
          <cell r="D125">
            <v>33059</v>
          </cell>
          <cell r="E125">
            <v>3800</v>
          </cell>
        </row>
        <row r="126">
          <cell r="A126">
            <v>1977</v>
          </cell>
          <cell r="B126" t="str">
            <v>Wes</v>
          </cell>
          <cell r="C126" t="str">
            <v>Engenheiro de Software</v>
          </cell>
          <cell r="D126">
            <v>33060</v>
          </cell>
          <cell r="E126">
            <v>5000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ma"/>
      <sheetName val="Instruções"/>
      <sheetName val="Formulario"/>
      <sheetName val="Banco de Dados"/>
      <sheetName val="Consultas"/>
      <sheetName val="Workarea"/>
    </sheetNames>
    <sheetDataSet>
      <sheetData sheetId="0" refreshError="1"/>
      <sheetData sheetId="1" refreshError="1"/>
      <sheetData sheetId="2" refreshError="1"/>
      <sheetData sheetId="3">
        <row r="1">
          <cell r="V1">
            <v>146</v>
          </cell>
          <cell r="Z1">
            <v>137</v>
          </cell>
        </row>
      </sheetData>
      <sheetData sheetId="4" refreshError="1"/>
      <sheetData sheetId="5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49_PROCV"/>
      <sheetName val="Roteiro"/>
      <sheetName val="Resolvida"/>
    </sheetNames>
    <sheetDataSet>
      <sheetData sheetId="0" refreshError="1"/>
      <sheetData sheetId="1" refreshError="1"/>
      <sheetData sheetId="2">
        <row r="6">
          <cell r="L6" t="str">
            <v>COD</v>
          </cell>
          <cell r="M6" t="str">
            <v>PRODUTORA</v>
          </cell>
        </row>
        <row r="7">
          <cell r="L7" t="str">
            <v>Col</v>
          </cell>
          <cell r="M7" t="str">
            <v>Columbia Tristar</v>
          </cell>
        </row>
        <row r="8">
          <cell r="L8" t="str">
            <v>Fox</v>
          </cell>
          <cell r="M8" t="str">
            <v>Fox</v>
          </cell>
        </row>
        <row r="9">
          <cell r="L9" t="str">
            <v>Par</v>
          </cell>
          <cell r="M9" t="str">
            <v>Paramount</v>
          </cell>
        </row>
        <row r="10">
          <cell r="L10" t="str">
            <v>Tou</v>
          </cell>
          <cell r="M10" t="str">
            <v>Touchstone</v>
          </cell>
        </row>
        <row r="11">
          <cell r="L11" t="str">
            <v>Uni</v>
          </cell>
          <cell r="M11" t="str">
            <v>Universal</v>
          </cell>
        </row>
        <row r="12">
          <cell r="L12" t="str">
            <v>War</v>
          </cell>
          <cell r="M12" t="str">
            <v>Warner</v>
          </cell>
        </row>
      </sheetData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09_RefRelAbs"/>
      <sheetName val="Roteiro"/>
      <sheetName val="Resolvida"/>
    </sheetNames>
    <sheetDataSet>
      <sheetData sheetId="0" refreshError="1"/>
      <sheetData sheetId="1" refreshError="1"/>
      <sheetData sheetId="2">
        <row r="7">
          <cell r="H7">
            <v>11.5</v>
          </cell>
        </row>
      </sheetData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09_RefRelAbs"/>
      <sheetName val="Roteiro"/>
      <sheetName val="Resolvida"/>
    </sheetNames>
    <sheetDataSet>
      <sheetData sheetId="0" refreshError="1"/>
      <sheetData sheetId="1" refreshError="1"/>
      <sheetData sheetId="2">
        <row r="7">
          <cell r="H7">
            <v>11.5</v>
          </cell>
        </row>
      </sheetData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-66-BDSOMA 1"/>
      <sheetName val="Roteiro"/>
      <sheetName val="Resolvida"/>
    </sheetNames>
    <sheetDataSet>
      <sheetData sheetId="0"/>
      <sheetData sheetId="1"/>
      <sheetData sheetId="2">
        <row r="7">
          <cell r="A7" t="str">
            <v>MES</v>
          </cell>
          <cell r="B7" t="str">
            <v>PEDIDO</v>
          </cell>
          <cell r="C7" t="str">
            <v>Código</v>
          </cell>
          <cell r="D7" t="str">
            <v>Descrição</v>
          </cell>
          <cell r="E7" t="str">
            <v>UNIT</v>
          </cell>
          <cell r="F7" t="str">
            <v>TOTAL</v>
          </cell>
        </row>
        <row r="8">
          <cell r="A8" t="str">
            <v>JANEIRO</v>
          </cell>
          <cell r="B8">
            <v>315733</v>
          </cell>
          <cell r="C8">
            <v>70162199</v>
          </cell>
          <cell r="D8" t="str">
            <v>Bucha latão 1/2 plg</v>
          </cell>
          <cell r="E8">
            <v>0.50109999999999999</v>
          </cell>
          <cell r="F8">
            <v>60132</v>
          </cell>
        </row>
        <row r="9">
          <cell r="A9" t="str">
            <v>JANEIRO</v>
          </cell>
          <cell r="B9">
            <v>315733</v>
          </cell>
          <cell r="C9">
            <v>70162199</v>
          </cell>
          <cell r="D9" t="str">
            <v>Bucha latão 1/2 plg</v>
          </cell>
          <cell r="E9">
            <v>0.50109999999999999</v>
          </cell>
          <cell r="F9">
            <v>60132</v>
          </cell>
        </row>
        <row r="10">
          <cell r="A10" t="str">
            <v>FEVEREIRO</v>
          </cell>
          <cell r="B10">
            <v>318920</v>
          </cell>
          <cell r="C10">
            <v>70162199</v>
          </cell>
          <cell r="D10" t="str">
            <v>Bucha latão 1/2 plg</v>
          </cell>
          <cell r="E10">
            <v>0.50109999999999999</v>
          </cell>
          <cell r="F10">
            <v>100220</v>
          </cell>
        </row>
        <row r="11">
          <cell r="A11" t="str">
            <v>FEVEREIRO</v>
          </cell>
          <cell r="B11">
            <v>318920</v>
          </cell>
          <cell r="C11">
            <v>70162199</v>
          </cell>
          <cell r="D11" t="str">
            <v>Bucha latão 1/2 plg</v>
          </cell>
          <cell r="E11">
            <v>0.50109999999999999</v>
          </cell>
          <cell r="F11">
            <v>100220</v>
          </cell>
        </row>
        <row r="12">
          <cell r="A12" t="str">
            <v>FEVEREIRO</v>
          </cell>
          <cell r="B12">
            <v>318920</v>
          </cell>
          <cell r="C12">
            <v>70162199</v>
          </cell>
          <cell r="D12" t="str">
            <v>Bucha latão 1/2 plg</v>
          </cell>
          <cell r="E12">
            <v>0.50109999999999999</v>
          </cell>
          <cell r="F12">
            <v>100220</v>
          </cell>
        </row>
        <row r="13">
          <cell r="A13" t="str">
            <v>MARÇO</v>
          </cell>
          <cell r="B13">
            <v>322966</v>
          </cell>
          <cell r="C13">
            <v>70162199</v>
          </cell>
          <cell r="D13" t="str">
            <v>Bucha latão 1/2 plg</v>
          </cell>
          <cell r="E13">
            <v>0.50109999999999999</v>
          </cell>
          <cell r="F13">
            <v>108738.7</v>
          </cell>
        </row>
        <row r="14">
          <cell r="A14" t="str">
            <v>MARÇO</v>
          </cell>
          <cell r="B14">
            <v>322966</v>
          </cell>
          <cell r="C14">
            <v>70162199</v>
          </cell>
          <cell r="D14" t="str">
            <v>Bucha latão 1/2 plg</v>
          </cell>
          <cell r="E14">
            <v>0.50109999999999999</v>
          </cell>
          <cell r="F14">
            <v>108738.7</v>
          </cell>
        </row>
        <row r="15">
          <cell r="A15" t="str">
            <v>MARÇO</v>
          </cell>
          <cell r="B15">
            <v>322966</v>
          </cell>
          <cell r="C15">
            <v>70162199</v>
          </cell>
          <cell r="D15" t="str">
            <v>Bucha latão 1/2 plg</v>
          </cell>
          <cell r="E15">
            <v>0.50109999999999999</v>
          </cell>
          <cell r="F15">
            <v>108738.7</v>
          </cell>
        </row>
        <row r="16">
          <cell r="A16" t="str">
            <v>MARÇO</v>
          </cell>
          <cell r="B16">
            <v>322966</v>
          </cell>
          <cell r="C16">
            <v>70162199</v>
          </cell>
          <cell r="D16" t="str">
            <v>Bucha latão 1/2 plg</v>
          </cell>
          <cell r="E16">
            <v>0.50109999999999999</v>
          </cell>
          <cell r="F16">
            <v>108738.7</v>
          </cell>
        </row>
        <row r="17">
          <cell r="A17" t="str">
            <v>JANEIRO</v>
          </cell>
          <cell r="B17">
            <v>315733</v>
          </cell>
          <cell r="C17">
            <v>70162202</v>
          </cell>
          <cell r="D17" t="str">
            <v>Bucha Latão 3/4 plg</v>
          </cell>
          <cell r="E17">
            <v>0.7006</v>
          </cell>
          <cell r="F17">
            <v>63054</v>
          </cell>
        </row>
        <row r="18">
          <cell r="A18" t="str">
            <v>JANEIRO</v>
          </cell>
          <cell r="B18">
            <v>315733</v>
          </cell>
          <cell r="C18">
            <v>70162202</v>
          </cell>
          <cell r="D18" t="str">
            <v>Bucha Latão 3/4 plg</v>
          </cell>
          <cell r="E18">
            <v>0.7006</v>
          </cell>
          <cell r="F18">
            <v>63054</v>
          </cell>
        </row>
        <row r="19">
          <cell r="A19" t="str">
            <v>FEVEREIRO</v>
          </cell>
          <cell r="B19">
            <v>318920</v>
          </cell>
          <cell r="C19">
            <v>70162202</v>
          </cell>
          <cell r="D19" t="str">
            <v>Bucha Latão 3/4 plg</v>
          </cell>
          <cell r="E19">
            <v>0.7006</v>
          </cell>
          <cell r="F19">
            <v>91078</v>
          </cell>
        </row>
        <row r="20">
          <cell r="A20" t="str">
            <v>FEVEREIRO</v>
          </cell>
          <cell r="B20">
            <v>318920</v>
          </cell>
          <cell r="C20">
            <v>70162202</v>
          </cell>
          <cell r="D20" t="str">
            <v>Bucha Latão 3/4 plg</v>
          </cell>
          <cell r="E20">
            <v>0.7006</v>
          </cell>
          <cell r="F20">
            <v>91078</v>
          </cell>
        </row>
        <row r="21">
          <cell r="A21" t="str">
            <v>MARÇO</v>
          </cell>
          <cell r="B21">
            <v>322966</v>
          </cell>
          <cell r="C21">
            <v>70162202</v>
          </cell>
          <cell r="D21" t="str">
            <v>Bucha Latão 3/4 plg</v>
          </cell>
          <cell r="E21">
            <v>0.7006</v>
          </cell>
          <cell r="F21">
            <v>70060</v>
          </cell>
        </row>
        <row r="22">
          <cell r="A22" t="str">
            <v>MARÇO</v>
          </cell>
          <cell r="B22">
            <v>322966</v>
          </cell>
          <cell r="C22">
            <v>70162202</v>
          </cell>
          <cell r="D22" t="str">
            <v>Bucha Latão 3/4 plg</v>
          </cell>
          <cell r="E22">
            <v>0.7006</v>
          </cell>
          <cell r="F22">
            <v>70060</v>
          </cell>
        </row>
        <row r="23">
          <cell r="A23" t="str">
            <v>MARÇO</v>
          </cell>
          <cell r="B23">
            <v>322966</v>
          </cell>
          <cell r="C23">
            <v>70162202</v>
          </cell>
          <cell r="D23" t="str">
            <v>Bucha Latão 3/4 plg</v>
          </cell>
          <cell r="E23">
            <v>0.7006</v>
          </cell>
          <cell r="F23">
            <v>70060</v>
          </cell>
        </row>
        <row r="24">
          <cell r="A24" t="str">
            <v>MARÇO</v>
          </cell>
          <cell r="B24">
            <v>322966</v>
          </cell>
          <cell r="C24">
            <v>70162202</v>
          </cell>
          <cell r="D24" t="str">
            <v>Bucha Latão 3/4 plg</v>
          </cell>
          <cell r="E24">
            <v>0.7006</v>
          </cell>
          <cell r="F24">
            <v>70060</v>
          </cell>
        </row>
        <row r="25">
          <cell r="A25" t="str">
            <v>JANEIRO</v>
          </cell>
          <cell r="B25">
            <v>315797</v>
          </cell>
          <cell r="C25">
            <v>70207214</v>
          </cell>
          <cell r="D25" t="str">
            <v>Inserto Latão 1/2 plg</v>
          </cell>
          <cell r="E25">
            <v>1.26</v>
          </cell>
          <cell r="F25">
            <v>44100</v>
          </cell>
        </row>
        <row r="26">
          <cell r="A26" t="str">
            <v>MARÇO</v>
          </cell>
          <cell r="B26">
            <v>321576</v>
          </cell>
          <cell r="C26">
            <v>70207214</v>
          </cell>
          <cell r="D26" t="str">
            <v>Inserto Latão 1/2 plg</v>
          </cell>
          <cell r="E26">
            <v>1.26</v>
          </cell>
          <cell r="F26">
            <v>12600</v>
          </cell>
        </row>
        <row r="27">
          <cell r="A27" t="str">
            <v>MARÇO</v>
          </cell>
          <cell r="B27">
            <v>323978</v>
          </cell>
          <cell r="C27">
            <v>70207214</v>
          </cell>
          <cell r="D27" t="str">
            <v>Inserto Latão 1/2 plg</v>
          </cell>
          <cell r="E27">
            <v>1.26</v>
          </cell>
          <cell r="F27">
            <v>56700</v>
          </cell>
        </row>
        <row r="28">
          <cell r="A28" t="str">
            <v>JANEIRO</v>
          </cell>
          <cell r="B28">
            <v>315797</v>
          </cell>
          <cell r="C28">
            <v>70207222</v>
          </cell>
          <cell r="D28" t="str">
            <v>Inserto Latão 3/4 plg</v>
          </cell>
          <cell r="E28">
            <v>1.83</v>
          </cell>
          <cell r="F28">
            <v>54900</v>
          </cell>
        </row>
        <row r="29">
          <cell r="A29" t="str">
            <v>MARÇO</v>
          </cell>
          <cell r="B29">
            <v>323978</v>
          </cell>
          <cell r="C29">
            <v>70207222</v>
          </cell>
          <cell r="D29" t="str">
            <v>Inserto Latão 3/4 plg</v>
          </cell>
          <cell r="E29">
            <v>1.83</v>
          </cell>
          <cell r="F29">
            <v>86925</v>
          </cell>
        </row>
        <row r="30">
          <cell r="A30" t="str">
            <v>JANEIRO</v>
          </cell>
          <cell r="B30">
            <v>315797</v>
          </cell>
          <cell r="C30">
            <v>70207230</v>
          </cell>
          <cell r="D30" t="str">
            <v>Inserto Latão 1 plg</v>
          </cell>
          <cell r="E30">
            <v>3.58</v>
          </cell>
          <cell r="F30">
            <v>10740</v>
          </cell>
        </row>
        <row r="31">
          <cell r="A31" t="str">
            <v>MARÇO</v>
          </cell>
          <cell r="B31">
            <v>323978</v>
          </cell>
          <cell r="C31">
            <v>70207230</v>
          </cell>
          <cell r="D31" t="str">
            <v>Inserto Latão 1 plg</v>
          </cell>
          <cell r="E31">
            <v>3.58</v>
          </cell>
          <cell r="F31">
            <v>9845</v>
          </cell>
        </row>
        <row r="32">
          <cell r="A32" t="str">
            <v>JANEIRO</v>
          </cell>
          <cell r="B32">
            <v>315797</v>
          </cell>
          <cell r="C32">
            <v>70220750</v>
          </cell>
          <cell r="D32" t="str">
            <v>Inserto Latão Rosca  3/4 plg</v>
          </cell>
          <cell r="E32">
            <v>3.45</v>
          </cell>
          <cell r="F32">
            <v>124200</v>
          </cell>
        </row>
        <row r="33">
          <cell r="A33" t="str">
            <v>MARÇO</v>
          </cell>
          <cell r="B33">
            <v>323978</v>
          </cell>
          <cell r="C33">
            <v>70220750</v>
          </cell>
          <cell r="D33" t="str">
            <v>Inserto Latão Rosca  3/4 plg</v>
          </cell>
          <cell r="E33">
            <v>3.45</v>
          </cell>
          <cell r="F33">
            <v>120750</v>
          </cell>
        </row>
        <row r="34">
          <cell r="A34" t="str">
            <v>MARÇO</v>
          </cell>
          <cell r="B34">
            <v>323244</v>
          </cell>
          <cell r="C34">
            <v>70220768</v>
          </cell>
          <cell r="D34" t="str">
            <v>Inserto Latão Rosca  1 plg</v>
          </cell>
          <cell r="E34">
            <v>5.77</v>
          </cell>
          <cell r="F34">
            <v>23080</v>
          </cell>
        </row>
        <row r="35">
          <cell r="A35" t="str">
            <v>MARÇO</v>
          </cell>
          <cell r="B35">
            <v>321581</v>
          </cell>
          <cell r="C35">
            <v>70221721</v>
          </cell>
          <cell r="D35" t="str">
            <v>Luva Edutor DN40</v>
          </cell>
          <cell r="E35">
            <v>26.3</v>
          </cell>
          <cell r="F35">
            <v>2630</v>
          </cell>
        </row>
        <row r="36">
          <cell r="A36" t="str">
            <v>MARÇO</v>
          </cell>
          <cell r="B36">
            <v>323244</v>
          </cell>
          <cell r="C36">
            <v>70221721</v>
          </cell>
          <cell r="D36" t="str">
            <v>Luva Edutor DN40</v>
          </cell>
          <cell r="E36">
            <v>26.3</v>
          </cell>
          <cell r="F36">
            <v>6312</v>
          </cell>
        </row>
        <row r="37">
          <cell r="A37" t="str">
            <v>JANEIRO</v>
          </cell>
          <cell r="B37">
            <v>315797</v>
          </cell>
          <cell r="C37">
            <v>70221730</v>
          </cell>
          <cell r="D37" t="str">
            <v>Luva Edutor DN50</v>
          </cell>
          <cell r="E37">
            <v>37.590000000000003</v>
          </cell>
          <cell r="F37">
            <v>3759.0000000000005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50"/>
  </sheetPr>
  <dimension ref="B4:S24"/>
  <sheetViews>
    <sheetView showGridLines="0" showRowColHeaders="0" topLeftCell="A4" workbookViewId="0">
      <selection activeCell="U28" sqref="U28"/>
    </sheetView>
  </sheetViews>
  <sheetFormatPr defaultColWidth="9.109375" defaultRowHeight="14.4" x14ac:dyDescent="0.3"/>
  <cols>
    <col min="1" max="16384" width="9.109375" style="35"/>
  </cols>
  <sheetData>
    <row r="4" spans="2:19" ht="15" customHeight="1" x14ac:dyDescent="0.3"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</row>
    <row r="5" spans="2:19" ht="15" customHeight="1" x14ac:dyDescent="0.3"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</row>
    <row r="6" spans="2:19" ht="15" customHeight="1" x14ac:dyDescent="0.3">
      <c r="B6" s="34"/>
      <c r="C6" s="40" t="s">
        <v>70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34"/>
    </row>
    <row r="7" spans="2:19" ht="15" customHeight="1" x14ac:dyDescent="0.3">
      <c r="B7" s="34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34"/>
    </row>
    <row r="8" spans="2:19" ht="15" customHeight="1" x14ac:dyDescent="0.3">
      <c r="B8" s="34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34"/>
    </row>
    <row r="9" spans="2:19" ht="15" customHeight="1" x14ac:dyDescent="0.3">
      <c r="B9" s="34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34"/>
    </row>
    <row r="10" spans="2:19" ht="15" customHeight="1" x14ac:dyDescent="0.3">
      <c r="B10" s="34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34"/>
    </row>
    <row r="11" spans="2:19" ht="15" customHeight="1" x14ac:dyDescent="0.3">
      <c r="B11" s="34"/>
      <c r="C11" s="41" t="s">
        <v>71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36"/>
    </row>
    <row r="12" spans="2:19" ht="15" customHeight="1" x14ac:dyDescent="0.3">
      <c r="B12" s="34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36"/>
    </row>
    <row r="13" spans="2:19" ht="15" customHeight="1" x14ac:dyDescent="0.3">
      <c r="B13" s="34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36"/>
    </row>
    <row r="14" spans="2:19" ht="15" customHeight="1" x14ac:dyDescent="0.3">
      <c r="B14" s="34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36"/>
    </row>
    <row r="15" spans="2:19" ht="15" customHeight="1" x14ac:dyDescent="0.3">
      <c r="B15" s="34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36"/>
    </row>
    <row r="16" spans="2:19" ht="15" customHeight="1" x14ac:dyDescent="0.3">
      <c r="B16" s="34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36"/>
    </row>
    <row r="17" spans="2:18" ht="15" customHeight="1" x14ac:dyDescent="0.3">
      <c r="B17" s="34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36"/>
    </row>
    <row r="18" spans="2:18" ht="15" customHeight="1" x14ac:dyDescent="0.3">
      <c r="B18" s="34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36"/>
    </row>
    <row r="19" spans="2:18" ht="15" customHeight="1" x14ac:dyDescent="0.3">
      <c r="B19" s="34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36"/>
    </row>
    <row r="20" spans="2:18" ht="15" customHeight="1" x14ac:dyDescent="0.3">
      <c r="B20" s="34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36"/>
    </row>
    <row r="21" spans="2:18" ht="15" customHeight="1" x14ac:dyDescent="0.3">
      <c r="B21" s="34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36"/>
    </row>
    <row r="22" spans="2:18" ht="15" customHeight="1" x14ac:dyDescent="0.3">
      <c r="M22" s="42"/>
      <c r="N22" s="42"/>
      <c r="O22" s="42"/>
      <c r="P22" s="42"/>
      <c r="Q22" s="42"/>
      <c r="R22" s="42"/>
    </row>
    <row r="23" spans="2:18" ht="15" customHeight="1" x14ac:dyDescent="0.3">
      <c r="M23" s="42"/>
      <c r="N23" s="42"/>
      <c r="O23" s="42"/>
      <c r="P23" s="42"/>
      <c r="Q23" s="42"/>
      <c r="R23" s="42"/>
    </row>
    <row r="24" spans="2:18" ht="15" customHeight="1" x14ac:dyDescent="0.3">
      <c r="M24" s="42"/>
      <c r="N24" s="42"/>
      <c r="O24" s="42"/>
      <c r="P24" s="42"/>
      <c r="Q24" s="42"/>
      <c r="R24" s="42"/>
    </row>
  </sheetData>
  <mergeCells count="3">
    <mergeCell ref="C6:R10"/>
    <mergeCell ref="C11:Q21"/>
    <mergeCell ref="M22:R24"/>
  </mergeCells>
  <conditionalFormatting sqref="C11:Q21">
    <cfRule type="expression" dxfId="0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B1:M39"/>
  <sheetViews>
    <sheetView showGridLines="0" topLeftCell="A36" zoomScale="130" zoomScaleNormal="130" workbookViewId="0">
      <selection activeCell="C3" sqref="C3"/>
    </sheetView>
  </sheetViews>
  <sheetFormatPr defaultRowHeight="14.4" x14ac:dyDescent="0.3"/>
  <cols>
    <col min="1" max="2" width="3.6640625" customWidth="1"/>
    <col min="3" max="3" width="11.88671875" customWidth="1"/>
    <col min="4" max="4" width="13.5546875" style="1" customWidth="1"/>
    <col min="5" max="5" width="12.6640625" customWidth="1"/>
    <col min="6" max="6" width="9.88671875" bestFit="1" customWidth="1"/>
    <col min="7" max="7" width="11.44140625" customWidth="1"/>
    <col min="8" max="8" width="11.109375" bestFit="1" customWidth="1"/>
    <col min="9" max="9" width="12.6640625" bestFit="1" customWidth="1"/>
    <col min="10" max="10" width="7.5546875" style="1" customWidth="1"/>
    <col min="11" max="11" width="15" bestFit="1" customWidth="1"/>
    <col min="12" max="12" width="6.88671875" customWidth="1"/>
    <col min="13" max="13" width="7.33203125" customWidth="1"/>
    <col min="14" max="14" width="1.6640625" customWidth="1"/>
  </cols>
  <sheetData>
    <row r="1" spans="2:13" ht="18" x14ac:dyDescent="0.35">
      <c r="B1" s="10" t="s">
        <v>69</v>
      </c>
      <c r="C1" s="10"/>
      <c r="D1" s="16"/>
      <c r="E1" s="10"/>
    </row>
    <row r="3" spans="2:13" ht="14.25" customHeight="1" x14ac:dyDescent="0.3">
      <c r="C3" s="31" t="s">
        <v>0</v>
      </c>
      <c r="D3" s="32" t="s">
        <v>20</v>
      </c>
      <c r="E3" s="32" t="s">
        <v>7</v>
      </c>
      <c r="F3" s="32" t="s">
        <v>4</v>
      </c>
      <c r="G3" s="32" t="s">
        <v>2</v>
      </c>
      <c r="H3" s="32" t="s">
        <v>1</v>
      </c>
      <c r="I3" s="32" t="s">
        <v>24</v>
      </c>
      <c r="J3" s="32" t="s">
        <v>3</v>
      </c>
      <c r="K3" s="32" t="s">
        <v>21</v>
      </c>
      <c r="L3" s="32" t="s">
        <v>23</v>
      </c>
      <c r="M3" s="33" t="s">
        <v>22</v>
      </c>
    </row>
    <row r="4" spans="2:13" x14ac:dyDescent="0.3">
      <c r="C4" s="17" t="s">
        <v>55</v>
      </c>
      <c r="D4" s="18">
        <v>42560</v>
      </c>
      <c r="E4" s="17" t="s">
        <v>54</v>
      </c>
      <c r="F4" s="17" t="s">
        <v>46</v>
      </c>
      <c r="G4" s="17" t="s">
        <v>17</v>
      </c>
      <c r="H4" s="17" t="s">
        <v>18</v>
      </c>
      <c r="I4" s="19">
        <v>65.22</v>
      </c>
      <c r="J4" s="20">
        <v>45</v>
      </c>
      <c r="K4" s="21">
        <f t="shared" ref="K4:K39" si="0">I4*J4</f>
        <v>2934.9</v>
      </c>
      <c r="L4" s="22">
        <f t="shared" ref="L4:L39" si="1">MONTH(D4)</f>
        <v>7</v>
      </c>
      <c r="M4" s="23">
        <f t="shared" ref="M4:M39" si="2">YEAR(D4)</f>
        <v>2016</v>
      </c>
    </row>
    <row r="5" spans="2:13" x14ac:dyDescent="0.3">
      <c r="C5" s="17" t="s">
        <v>56</v>
      </c>
      <c r="D5" s="18">
        <v>42561</v>
      </c>
      <c r="E5" s="17" t="s">
        <v>49</v>
      </c>
      <c r="F5" s="17" t="s">
        <v>6</v>
      </c>
      <c r="G5" s="17" t="s">
        <v>11</v>
      </c>
      <c r="H5" s="17" t="s">
        <v>34</v>
      </c>
      <c r="I5" s="19">
        <v>3270</v>
      </c>
      <c r="J5" s="20">
        <v>12</v>
      </c>
      <c r="K5" s="21">
        <f t="shared" si="0"/>
        <v>39240</v>
      </c>
      <c r="L5" s="22">
        <f t="shared" si="1"/>
        <v>7</v>
      </c>
      <c r="M5" s="23">
        <f t="shared" si="2"/>
        <v>2016</v>
      </c>
    </row>
    <row r="6" spans="2:13" x14ac:dyDescent="0.3">
      <c r="C6" s="17" t="s">
        <v>60</v>
      </c>
      <c r="D6" s="18">
        <v>42562</v>
      </c>
      <c r="E6" s="17" t="s">
        <v>42</v>
      </c>
      <c r="F6" s="17" t="s">
        <v>46</v>
      </c>
      <c r="G6" s="17" t="s">
        <v>17</v>
      </c>
      <c r="H6" s="17" t="s">
        <v>47</v>
      </c>
      <c r="I6" s="19">
        <v>1685</v>
      </c>
      <c r="J6" s="20">
        <v>75</v>
      </c>
      <c r="K6" s="21">
        <f t="shared" si="0"/>
        <v>126375</v>
      </c>
      <c r="L6" s="22">
        <f t="shared" si="1"/>
        <v>7</v>
      </c>
      <c r="M6" s="23">
        <f t="shared" si="2"/>
        <v>2016</v>
      </c>
    </row>
    <row r="7" spans="2:13" x14ac:dyDescent="0.3">
      <c r="C7" s="17" t="s">
        <v>60</v>
      </c>
      <c r="D7" s="18">
        <v>42589</v>
      </c>
      <c r="E7" s="17" t="s">
        <v>54</v>
      </c>
      <c r="F7" s="17" t="s">
        <v>46</v>
      </c>
      <c r="G7" s="17" t="s">
        <v>15</v>
      </c>
      <c r="H7" s="17" t="s">
        <v>16</v>
      </c>
      <c r="I7" s="19">
        <v>2750</v>
      </c>
      <c r="J7" s="20">
        <v>10</v>
      </c>
      <c r="K7" s="21">
        <f t="shared" si="0"/>
        <v>27500</v>
      </c>
      <c r="L7" s="22">
        <f t="shared" si="1"/>
        <v>8</v>
      </c>
      <c r="M7" s="23">
        <f t="shared" si="2"/>
        <v>2016</v>
      </c>
    </row>
    <row r="8" spans="2:13" x14ac:dyDescent="0.3">
      <c r="C8" s="17" t="s">
        <v>56</v>
      </c>
      <c r="D8" s="18">
        <v>42594</v>
      </c>
      <c r="E8" s="17" t="s">
        <v>50</v>
      </c>
      <c r="F8" s="17" t="s">
        <v>8</v>
      </c>
      <c r="G8" s="17" t="s">
        <v>17</v>
      </c>
      <c r="H8" s="17" t="s">
        <v>37</v>
      </c>
      <c r="I8" s="19">
        <v>451</v>
      </c>
      <c r="J8" s="20">
        <v>80</v>
      </c>
      <c r="K8" s="21">
        <f t="shared" si="0"/>
        <v>36080</v>
      </c>
      <c r="L8" s="22">
        <f t="shared" si="1"/>
        <v>8</v>
      </c>
      <c r="M8" s="23">
        <f t="shared" si="2"/>
        <v>2016</v>
      </c>
    </row>
    <row r="9" spans="2:13" x14ac:dyDescent="0.3">
      <c r="C9" s="17" t="s">
        <v>56</v>
      </c>
      <c r="D9" s="18">
        <v>42595</v>
      </c>
      <c r="E9" s="17" t="s">
        <v>41</v>
      </c>
      <c r="F9" s="17" t="s">
        <v>10</v>
      </c>
      <c r="G9" s="17" t="s">
        <v>15</v>
      </c>
      <c r="H9" s="17" t="s">
        <v>39</v>
      </c>
      <c r="I9" s="19">
        <v>1285.27</v>
      </c>
      <c r="J9" s="20">
        <v>15</v>
      </c>
      <c r="K9" s="21">
        <f t="shared" si="0"/>
        <v>19279.05</v>
      </c>
      <c r="L9" s="22">
        <f t="shared" si="1"/>
        <v>8</v>
      </c>
      <c r="M9" s="23">
        <f t="shared" si="2"/>
        <v>2016</v>
      </c>
    </row>
    <row r="10" spans="2:13" x14ac:dyDescent="0.3">
      <c r="C10" s="17" t="s">
        <v>5</v>
      </c>
      <c r="D10" s="18">
        <v>42595</v>
      </c>
      <c r="E10" s="17" t="s">
        <v>51</v>
      </c>
      <c r="F10" s="17" t="s">
        <v>10</v>
      </c>
      <c r="G10" s="17" t="s">
        <v>15</v>
      </c>
      <c r="H10" s="17" t="s">
        <v>48</v>
      </c>
      <c r="I10" s="19">
        <v>2358</v>
      </c>
      <c r="J10" s="20">
        <v>25</v>
      </c>
      <c r="K10" s="21">
        <f t="shared" si="0"/>
        <v>58950</v>
      </c>
      <c r="L10" s="22">
        <f t="shared" si="1"/>
        <v>8</v>
      </c>
      <c r="M10" s="23">
        <f t="shared" si="2"/>
        <v>2016</v>
      </c>
    </row>
    <row r="11" spans="2:13" x14ac:dyDescent="0.3">
      <c r="C11" s="17" t="s">
        <v>57</v>
      </c>
      <c r="D11" s="18">
        <v>42599</v>
      </c>
      <c r="E11" s="17" t="s">
        <v>43</v>
      </c>
      <c r="F11" s="17" t="s">
        <v>6</v>
      </c>
      <c r="G11" s="17" t="s">
        <v>17</v>
      </c>
      <c r="H11" s="17" t="s">
        <v>47</v>
      </c>
      <c r="I11" s="19">
        <v>1685</v>
      </c>
      <c r="J11" s="20">
        <v>18</v>
      </c>
      <c r="K11" s="21">
        <f t="shared" si="0"/>
        <v>30330</v>
      </c>
      <c r="L11" s="22">
        <f t="shared" si="1"/>
        <v>8</v>
      </c>
      <c r="M11" s="23">
        <f t="shared" si="2"/>
        <v>2016</v>
      </c>
    </row>
    <row r="12" spans="2:13" x14ac:dyDescent="0.3">
      <c r="C12" s="17" t="s">
        <v>57</v>
      </c>
      <c r="D12" s="18">
        <v>42610</v>
      </c>
      <c r="E12" s="17" t="s">
        <v>41</v>
      </c>
      <c r="F12" s="17" t="s">
        <v>10</v>
      </c>
      <c r="G12" s="17" t="s">
        <v>15</v>
      </c>
      <c r="H12" s="17" t="s">
        <v>16</v>
      </c>
      <c r="I12" s="19">
        <v>1850</v>
      </c>
      <c r="J12" s="20">
        <v>25</v>
      </c>
      <c r="K12" s="21">
        <f t="shared" si="0"/>
        <v>46250</v>
      </c>
      <c r="L12" s="22">
        <f t="shared" si="1"/>
        <v>8</v>
      </c>
      <c r="M12" s="23">
        <f t="shared" si="2"/>
        <v>2016</v>
      </c>
    </row>
    <row r="13" spans="2:13" x14ac:dyDescent="0.3">
      <c r="C13" s="17" t="s">
        <v>60</v>
      </c>
      <c r="D13" s="18">
        <v>42617</v>
      </c>
      <c r="E13" s="17" t="s">
        <v>53</v>
      </c>
      <c r="F13" s="17" t="s">
        <v>8</v>
      </c>
      <c r="G13" s="17" t="s">
        <v>11</v>
      </c>
      <c r="H13" s="17" t="s">
        <v>34</v>
      </c>
      <c r="I13" s="19">
        <v>4800</v>
      </c>
      <c r="J13" s="20">
        <v>10</v>
      </c>
      <c r="K13" s="21">
        <f t="shared" si="0"/>
        <v>48000</v>
      </c>
      <c r="L13" s="22">
        <f t="shared" si="1"/>
        <v>9</v>
      </c>
      <c r="M13" s="23">
        <f t="shared" si="2"/>
        <v>2016</v>
      </c>
    </row>
    <row r="14" spans="2:13" x14ac:dyDescent="0.3">
      <c r="C14" s="17" t="s">
        <v>55</v>
      </c>
      <c r="D14" s="18">
        <v>42624</v>
      </c>
      <c r="E14" s="17" t="s">
        <v>41</v>
      </c>
      <c r="F14" s="17" t="s">
        <v>10</v>
      </c>
      <c r="G14" s="17" t="s">
        <v>15</v>
      </c>
      <c r="H14" s="17" t="s">
        <v>48</v>
      </c>
      <c r="I14" s="19">
        <v>2358</v>
      </c>
      <c r="J14" s="20">
        <v>30</v>
      </c>
      <c r="K14" s="21">
        <f t="shared" si="0"/>
        <v>70740</v>
      </c>
      <c r="L14" s="22">
        <f t="shared" si="1"/>
        <v>9</v>
      </c>
      <c r="M14" s="23">
        <f t="shared" si="2"/>
        <v>2016</v>
      </c>
    </row>
    <row r="15" spans="2:13" x14ac:dyDescent="0.3">
      <c r="C15" s="17" t="s">
        <v>58</v>
      </c>
      <c r="D15" s="18">
        <v>42640</v>
      </c>
      <c r="E15" s="17" t="s">
        <v>40</v>
      </c>
      <c r="F15" s="17" t="s">
        <v>6</v>
      </c>
      <c r="G15" s="17" t="s">
        <v>11</v>
      </c>
      <c r="H15" s="17" t="s">
        <v>34</v>
      </c>
      <c r="I15" s="19">
        <v>3270</v>
      </c>
      <c r="J15" s="20">
        <v>4</v>
      </c>
      <c r="K15" s="21">
        <f t="shared" si="0"/>
        <v>13080</v>
      </c>
      <c r="L15" s="22">
        <f t="shared" si="1"/>
        <v>9</v>
      </c>
      <c r="M15" s="23">
        <f t="shared" si="2"/>
        <v>2016</v>
      </c>
    </row>
    <row r="16" spans="2:13" x14ac:dyDescent="0.3">
      <c r="C16" s="17" t="s">
        <v>55</v>
      </c>
      <c r="D16" s="18">
        <v>42640</v>
      </c>
      <c r="E16" s="17" t="s">
        <v>43</v>
      </c>
      <c r="F16" s="17" t="s">
        <v>6</v>
      </c>
      <c r="G16" s="17" t="s">
        <v>13</v>
      </c>
      <c r="H16" s="17" t="s">
        <v>14</v>
      </c>
      <c r="I16" s="19">
        <v>73.150000000000006</v>
      </c>
      <c r="J16" s="20">
        <v>87</v>
      </c>
      <c r="K16" s="21">
        <f t="shared" si="0"/>
        <v>6364.05</v>
      </c>
      <c r="L16" s="22">
        <f t="shared" si="1"/>
        <v>9</v>
      </c>
      <c r="M16" s="23">
        <f t="shared" si="2"/>
        <v>2016</v>
      </c>
    </row>
    <row r="17" spans="3:13" x14ac:dyDescent="0.3">
      <c r="C17" s="17" t="s">
        <v>5</v>
      </c>
      <c r="D17" s="18">
        <v>42640</v>
      </c>
      <c r="E17" s="17" t="s">
        <v>45</v>
      </c>
      <c r="F17" s="17" t="s">
        <v>9</v>
      </c>
      <c r="G17" s="17" t="s">
        <v>17</v>
      </c>
      <c r="H17" s="17" t="s">
        <v>18</v>
      </c>
      <c r="I17" s="19">
        <v>65.22</v>
      </c>
      <c r="J17" s="20">
        <v>64</v>
      </c>
      <c r="K17" s="21">
        <f t="shared" si="0"/>
        <v>4174.08</v>
      </c>
      <c r="L17" s="22">
        <f t="shared" si="1"/>
        <v>9</v>
      </c>
      <c r="M17" s="23">
        <f t="shared" si="2"/>
        <v>2016</v>
      </c>
    </row>
    <row r="18" spans="3:13" x14ac:dyDescent="0.3">
      <c r="C18" s="17" t="s">
        <v>59</v>
      </c>
      <c r="D18" s="18">
        <v>42640</v>
      </c>
      <c r="E18" s="17" t="s">
        <v>19</v>
      </c>
      <c r="F18" s="17" t="s">
        <v>9</v>
      </c>
      <c r="G18" s="17" t="s">
        <v>13</v>
      </c>
      <c r="H18" s="17" t="s">
        <v>38</v>
      </c>
      <c r="I18" s="19">
        <v>1250</v>
      </c>
      <c r="J18" s="20">
        <v>27</v>
      </c>
      <c r="K18" s="21">
        <f t="shared" si="0"/>
        <v>33750</v>
      </c>
      <c r="L18" s="22">
        <f t="shared" si="1"/>
        <v>9</v>
      </c>
      <c r="M18" s="23">
        <f t="shared" si="2"/>
        <v>2016</v>
      </c>
    </row>
    <row r="19" spans="3:13" x14ac:dyDescent="0.3">
      <c r="C19" s="17" t="s">
        <v>55</v>
      </c>
      <c r="D19" s="18">
        <v>42640</v>
      </c>
      <c r="E19" s="17" t="s">
        <v>43</v>
      </c>
      <c r="F19" s="17" t="s">
        <v>6</v>
      </c>
      <c r="G19" s="17" t="s">
        <v>11</v>
      </c>
      <c r="H19" s="17" t="s">
        <v>34</v>
      </c>
      <c r="I19" s="19">
        <v>3270</v>
      </c>
      <c r="J19" s="20">
        <v>7</v>
      </c>
      <c r="K19" s="21">
        <f t="shared" si="0"/>
        <v>22890</v>
      </c>
      <c r="L19" s="22">
        <f t="shared" si="1"/>
        <v>9</v>
      </c>
      <c r="M19" s="23">
        <f t="shared" si="2"/>
        <v>2016</v>
      </c>
    </row>
    <row r="20" spans="3:13" x14ac:dyDescent="0.3">
      <c r="C20" s="17" t="s">
        <v>5</v>
      </c>
      <c r="D20" s="18">
        <v>42641</v>
      </c>
      <c r="E20" s="17" t="s">
        <v>19</v>
      </c>
      <c r="F20" s="17" t="s">
        <v>9</v>
      </c>
      <c r="G20" s="17" t="s">
        <v>15</v>
      </c>
      <c r="H20" s="17" t="s">
        <v>48</v>
      </c>
      <c r="I20" s="19">
        <v>2200</v>
      </c>
      <c r="J20" s="20">
        <v>50</v>
      </c>
      <c r="K20" s="21">
        <f t="shared" si="0"/>
        <v>110000</v>
      </c>
      <c r="L20" s="22">
        <f t="shared" si="1"/>
        <v>9</v>
      </c>
      <c r="M20" s="23">
        <f t="shared" si="2"/>
        <v>2016</v>
      </c>
    </row>
    <row r="21" spans="3:13" x14ac:dyDescent="0.3">
      <c r="C21" s="17" t="s">
        <v>60</v>
      </c>
      <c r="D21" s="18">
        <v>42653</v>
      </c>
      <c r="E21" s="17" t="s">
        <v>54</v>
      </c>
      <c r="F21" s="17" t="s">
        <v>46</v>
      </c>
      <c r="G21" s="17" t="s">
        <v>11</v>
      </c>
      <c r="H21" s="17" t="s">
        <v>12</v>
      </c>
      <c r="I21" s="19">
        <v>850</v>
      </c>
      <c r="J21" s="20">
        <v>8</v>
      </c>
      <c r="K21" s="21">
        <f t="shared" si="0"/>
        <v>6800</v>
      </c>
      <c r="L21" s="22">
        <f t="shared" si="1"/>
        <v>10</v>
      </c>
      <c r="M21" s="23">
        <f t="shared" si="2"/>
        <v>2016</v>
      </c>
    </row>
    <row r="22" spans="3:13" x14ac:dyDescent="0.3">
      <c r="C22" s="17" t="s">
        <v>5</v>
      </c>
      <c r="D22" s="18">
        <v>42657</v>
      </c>
      <c r="E22" s="17" t="s">
        <v>40</v>
      </c>
      <c r="F22" s="17" t="s">
        <v>6</v>
      </c>
      <c r="G22" s="17" t="s">
        <v>11</v>
      </c>
      <c r="H22" s="17" t="s">
        <v>34</v>
      </c>
      <c r="I22" s="19">
        <v>3270</v>
      </c>
      <c r="J22" s="20">
        <v>7</v>
      </c>
      <c r="K22" s="21">
        <f t="shared" si="0"/>
        <v>22890</v>
      </c>
      <c r="L22" s="22">
        <f t="shared" si="1"/>
        <v>10</v>
      </c>
      <c r="M22" s="23">
        <f t="shared" si="2"/>
        <v>2016</v>
      </c>
    </row>
    <row r="23" spans="3:13" x14ac:dyDescent="0.3">
      <c r="C23" s="17" t="s">
        <v>59</v>
      </c>
      <c r="D23" s="18">
        <v>42661</v>
      </c>
      <c r="E23" s="17" t="s">
        <v>40</v>
      </c>
      <c r="F23" s="17" t="s">
        <v>6</v>
      </c>
      <c r="G23" s="17" t="s">
        <v>13</v>
      </c>
      <c r="H23" s="17" t="s">
        <v>38</v>
      </c>
      <c r="I23" s="19">
        <v>1250</v>
      </c>
      <c r="J23" s="20">
        <v>35</v>
      </c>
      <c r="K23" s="21">
        <f t="shared" si="0"/>
        <v>43750</v>
      </c>
      <c r="L23" s="22">
        <f t="shared" si="1"/>
        <v>10</v>
      </c>
      <c r="M23" s="23">
        <f t="shared" si="2"/>
        <v>2016</v>
      </c>
    </row>
    <row r="24" spans="3:13" x14ac:dyDescent="0.3">
      <c r="C24" s="17" t="s">
        <v>59</v>
      </c>
      <c r="D24" s="18">
        <v>42665</v>
      </c>
      <c r="E24" s="17" t="s">
        <v>53</v>
      </c>
      <c r="F24" s="17" t="s">
        <v>8</v>
      </c>
      <c r="G24" s="17" t="s">
        <v>15</v>
      </c>
      <c r="H24" s="17" t="s">
        <v>39</v>
      </c>
      <c r="I24" s="19">
        <v>685</v>
      </c>
      <c r="J24" s="20">
        <v>18</v>
      </c>
      <c r="K24" s="21">
        <f t="shared" si="0"/>
        <v>12330</v>
      </c>
      <c r="L24" s="22">
        <f t="shared" si="1"/>
        <v>10</v>
      </c>
      <c r="M24" s="23">
        <f t="shared" si="2"/>
        <v>2016</v>
      </c>
    </row>
    <row r="25" spans="3:13" x14ac:dyDescent="0.3">
      <c r="C25" s="17" t="s">
        <v>56</v>
      </c>
      <c r="D25" s="18">
        <v>42669</v>
      </c>
      <c r="E25" s="17" t="s">
        <v>49</v>
      </c>
      <c r="F25" s="17" t="s">
        <v>6</v>
      </c>
      <c r="G25" s="17" t="s">
        <v>17</v>
      </c>
      <c r="H25" s="17" t="s">
        <v>37</v>
      </c>
      <c r="I25" s="19">
        <v>451</v>
      </c>
      <c r="J25" s="20">
        <v>70</v>
      </c>
      <c r="K25" s="21">
        <f t="shared" si="0"/>
        <v>31570</v>
      </c>
      <c r="L25" s="22">
        <f t="shared" si="1"/>
        <v>10</v>
      </c>
      <c r="M25" s="23">
        <f t="shared" si="2"/>
        <v>2016</v>
      </c>
    </row>
    <row r="26" spans="3:13" x14ac:dyDescent="0.3">
      <c r="C26" s="17" t="s">
        <v>56</v>
      </c>
      <c r="D26" s="18">
        <v>42669</v>
      </c>
      <c r="E26" s="17" t="s">
        <v>49</v>
      </c>
      <c r="F26" s="17" t="s">
        <v>6</v>
      </c>
      <c r="G26" s="17" t="s">
        <v>13</v>
      </c>
      <c r="H26" s="17" t="s">
        <v>14</v>
      </c>
      <c r="I26" s="19">
        <v>73.150000000000006</v>
      </c>
      <c r="J26" s="20">
        <v>98</v>
      </c>
      <c r="K26" s="21">
        <f t="shared" si="0"/>
        <v>7168.7000000000007</v>
      </c>
      <c r="L26" s="22">
        <f t="shared" si="1"/>
        <v>10</v>
      </c>
      <c r="M26" s="23">
        <f t="shared" si="2"/>
        <v>2016</v>
      </c>
    </row>
    <row r="27" spans="3:13" x14ac:dyDescent="0.3">
      <c r="C27" s="17" t="s">
        <v>55</v>
      </c>
      <c r="D27" s="18">
        <v>42673</v>
      </c>
      <c r="E27" s="17" t="s">
        <v>54</v>
      </c>
      <c r="F27" s="17" t="s">
        <v>46</v>
      </c>
      <c r="G27" s="17" t="s">
        <v>15</v>
      </c>
      <c r="H27" s="17" t="s">
        <v>16</v>
      </c>
      <c r="I27" s="19">
        <v>2750</v>
      </c>
      <c r="J27" s="20">
        <v>12</v>
      </c>
      <c r="K27" s="21">
        <f t="shared" si="0"/>
        <v>33000</v>
      </c>
      <c r="L27" s="22">
        <f t="shared" si="1"/>
        <v>10</v>
      </c>
      <c r="M27" s="23">
        <f t="shared" si="2"/>
        <v>2016</v>
      </c>
    </row>
    <row r="28" spans="3:13" x14ac:dyDescent="0.3">
      <c r="C28" s="17" t="s">
        <v>58</v>
      </c>
      <c r="D28" s="18">
        <v>42677</v>
      </c>
      <c r="E28" s="17" t="s">
        <v>44</v>
      </c>
      <c r="F28" s="17" t="s">
        <v>10</v>
      </c>
      <c r="G28" s="17" t="s">
        <v>11</v>
      </c>
      <c r="H28" s="17" t="s">
        <v>35</v>
      </c>
      <c r="I28" s="19">
        <v>1853.39</v>
      </c>
      <c r="J28" s="20">
        <v>15</v>
      </c>
      <c r="K28" s="21">
        <f t="shared" si="0"/>
        <v>27800.850000000002</v>
      </c>
      <c r="L28" s="22">
        <f t="shared" si="1"/>
        <v>11</v>
      </c>
      <c r="M28" s="23">
        <f t="shared" si="2"/>
        <v>2016</v>
      </c>
    </row>
    <row r="29" spans="3:13" x14ac:dyDescent="0.3">
      <c r="C29" s="17" t="s">
        <v>59</v>
      </c>
      <c r="D29" s="18">
        <v>42679</v>
      </c>
      <c r="E29" s="17" t="s">
        <v>53</v>
      </c>
      <c r="F29" s="17" t="s">
        <v>8</v>
      </c>
      <c r="G29" s="17" t="s">
        <v>13</v>
      </c>
      <c r="H29" s="17" t="s">
        <v>38</v>
      </c>
      <c r="I29" s="19">
        <v>950</v>
      </c>
      <c r="J29" s="20">
        <v>25</v>
      </c>
      <c r="K29" s="21">
        <f t="shared" si="0"/>
        <v>23750</v>
      </c>
      <c r="L29" s="22">
        <f t="shared" si="1"/>
        <v>11</v>
      </c>
      <c r="M29" s="23">
        <f t="shared" si="2"/>
        <v>2016</v>
      </c>
    </row>
    <row r="30" spans="3:13" x14ac:dyDescent="0.3">
      <c r="C30" s="17" t="s">
        <v>57</v>
      </c>
      <c r="D30" s="18">
        <v>42679</v>
      </c>
      <c r="E30" s="17" t="s">
        <v>53</v>
      </c>
      <c r="F30" s="17" t="s">
        <v>8</v>
      </c>
      <c r="G30" s="17" t="s">
        <v>13</v>
      </c>
      <c r="H30" s="17" t="s">
        <v>38</v>
      </c>
      <c r="I30" s="19">
        <v>950</v>
      </c>
      <c r="J30" s="20">
        <v>33</v>
      </c>
      <c r="K30" s="21">
        <f t="shared" si="0"/>
        <v>31350</v>
      </c>
      <c r="L30" s="22">
        <f t="shared" si="1"/>
        <v>11</v>
      </c>
      <c r="M30" s="23">
        <f t="shared" si="2"/>
        <v>2016</v>
      </c>
    </row>
    <row r="31" spans="3:13" x14ac:dyDescent="0.3">
      <c r="C31" s="17" t="s">
        <v>59</v>
      </c>
      <c r="D31" s="18">
        <v>42681</v>
      </c>
      <c r="E31" s="17" t="s">
        <v>40</v>
      </c>
      <c r="F31" s="17" t="s">
        <v>6</v>
      </c>
      <c r="G31" s="17" t="s">
        <v>17</v>
      </c>
      <c r="H31" s="17" t="s">
        <v>37</v>
      </c>
      <c r="I31" s="19">
        <v>451</v>
      </c>
      <c r="J31" s="20">
        <v>87</v>
      </c>
      <c r="K31" s="21">
        <f t="shared" si="0"/>
        <v>39237</v>
      </c>
      <c r="L31" s="22">
        <f t="shared" si="1"/>
        <v>11</v>
      </c>
      <c r="M31" s="23">
        <f t="shared" si="2"/>
        <v>2016</v>
      </c>
    </row>
    <row r="32" spans="3:13" x14ac:dyDescent="0.3">
      <c r="C32" s="17" t="s">
        <v>57</v>
      </c>
      <c r="D32" s="18">
        <v>42683</v>
      </c>
      <c r="E32" s="17" t="s">
        <v>45</v>
      </c>
      <c r="F32" s="17" t="s">
        <v>9</v>
      </c>
      <c r="G32" s="17" t="s">
        <v>15</v>
      </c>
      <c r="H32" s="17" t="s">
        <v>36</v>
      </c>
      <c r="I32" s="19">
        <v>415</v>
      </c>
      <c r="J32" s="20">
        <v>50</v>
      </c>
      <c r="K32" s="21">
        <f t="shared" si="0"/>
        <v>20750</v>
      </c>
      <c r="L32" s="22">
        <f t="shared" si="1"/>
        <v>11</v>
      </c>
      <c r="M32" s="23">
        <f t="shared" si="2"/>
        <v>2016</v>
      </c>
    </row>
    <row r="33" spans="3:13" x14ac:dyDescent="0.3">
      <c r="C33" s="17" t="s">
        <v>58</v>
      </c>
      <c r="D33" s="18">
        <v>42683</v>
      </c>
      <c r="E33" s="17" t="s">
        <v>45</v>
      </c>
      <c r="F33" s="17" t="s">
        <v>9</v>
      </c>
      <c r="G33" s="17" t="s">
        <v>15</v>
      </c>
      <c r="H33" s="17" t="s">
        <v>36</v>
      </c>
      <c r="I33" s="19">
        <v>415</v>
      </c>
      <c r="J33" s="20">
        <v>33</v>
      </c>
      <c r="K33" s="21">
        <f t="shared" si="0"/>
        <v>13695</v>
      </c>
      <c r="L33" s="22">
        <f t="shared" si="1"/>
        <v>11</v>
      </c>
      <c r="M33" s="23">
        <f t="shared" si="2"/>
        <v>2016</v>
      </c>
    </row>
    <row r="34" spans="3:13" x14ac:dyDescent="0.3">
      <c r="C34" s="17" t="s">
        <v>5</v>
      </c>
      <c r="D34" s="18">
        <v>42685</v>
      </c>
      <c r="E34" s="17" t="s">
        <v>42</v>
      </c>
      <c r="F34" s="17" t="s">
        <v>46</v>
      </c>
      <c r="G34" s="17" t="s">
        <v>17</v>
      </c>
      <c r="H34" s="17" t="s">
        <v>47</v>
      </c>
      <c r="I34" s="19">
        <v>1685</v>
      </c>
      <c r="J34" s="20">
        <v>28</v>
      </c>
      <c r="K34" s="21">
        <f t="shared" si="0"/>
        <v>47180</v>
      </c>
      <c r="L34" s="22">
        <f t="shared" si="1"/>
        <v>11</v>
      </c>
      <c r="M34" s="23">
        <f t="shared" si="2"/>
        <v>2016</v>
      </c>
    </row>
    <row r="35" spans="3:13" x14ac:dyDescent="0.3">
      <c r="C35" s="17" t="s">
        <v>58</v>
      </c>
      <c r="D35" s="18">
        <v>42685</v>
      </c>
      <c r="E35" s="17" t="s">
        <v>42</v>
      </c>
      <c r="F35" s="17" t="s">
        <v>46</v>
      </c>
      <c r="G35" s="17" t="s">
        <v>15</v>
      </c>
      <c r="H35" s="17" t="s">
        <v>39</v>
      </c>
      <c r="I35" s="19">
        <v>1685</v>
      </c>
      <c r="J35" s="20">
        <v>15</v>
      </c>
      <c r="K35" s="21">
        <f t="shared" si="0"/>
        <v>25275</v>
      </c>
      <c r="L35" s="22">
        <f t="shared" si="1"/>
        <v>11</v>
      </c>
      <c r="M35" s="23">
        <f t="shared" si="2"/>
        <v>2016</v>
      </c>
    </row>
    <row r="36" spans="3:13" x14ac:dyDescent="0.3">
      <c r="C36" s="17" t="s">
        <v>5</v>
      </c>
      <c r="D36" s="18">
        <v>42689</v>
      </c>
      <c r="E36" s="17" t="s">
        <v>44</v>
      </c>
      <c r="F36" s="17" t="s">
        <v>10</v>
      </c>
      <c r="G36" s="17" t="s">
        <v>11</v>
      </c>
      <c r="H36" s="17" t="s">
        <v>34</v>
      </c>
      <c r="I36" s="19">
        <v>4800</v>
      </c>
      <c r="J36" s="20">
        <v>9</v>
      </c>
      <c r="K36" s="21">
        <f t="shared" si="0"/>
        <v>43200</v>
      </c>
      <c r="L36" s="22">
        <f t="shared" si="1"/>
        <v>11</v>
      </c>
      <c r="M36" s="23">
        <f t="shared" si="2"/>
        <v>2016</v>
      </c>
    </row>
    <row r="37" spans="3:13" x14ac:dyDescent="0.3">
      <c r="C37" s="17" t="s">
        <v>58</v>
      </c>
      <c r="D37" s="18">
        <v>42700</v>
      </c>
      <c r="E37" s="17" t="s">
        <v>52</v>
      </c>
      <c r="F37" s="17" t="s">
        <v>6</v>
      </c>
      <c r="G37" s="17" t="s">
        <v>13</v>
      </c>
      <c r="H37" s="17" t="s">
        <v>14</v>
      </c>
      <c r="I37" s="19">
        <v>73.150000000000006</v>
      </c>
      <c r="J37" s="20">
        <v>98</v>
      </c>
      <c r="K37" s="21">
        <f t="shared" si="0"/>
        <v>7168.7000000000007</v>
      </c>
      <c r="L37" s="22">
        <f t="shared" si="1"/>
        <v>11</v>
      </c>
      <c r="M37" s="23">
        <f t="shared" si="2"/>
        <v>2016</v>
      </c>
    </row>
    <row r="38" spans="3:13" x14ac:dyDescent="0.3">
      <c r="C38" s="17" t="s">
        <v>58</v>
      </c>
      <c r="D38" s="18">
        <v>42722</v>
      </c>
      <c r="E38" s="17" t="s">
        <v>52</v>
      </c>
      <c r="F38" s="17" t="s">
        <v>6</v>
      </c>
      <c r="G38" s="17" t="s">
        <v>11</v>
      </c>
      <c r="H38" s="17" t="s">
        <v>35</v>
      </c>
      <c r="I38" s="19">
        <v>1853.39</v>
      </c>
      <c r="J38" s="20">
        <v>12</v>
      </c>
      <c r="K38" s="21">
        <f t="shared" si="0"/>
        <v>22240.68</v>
      </c>
      <c r="L38" s="22">
        <f t="shared" si="1"/>
        <v>12</v>
      </c>
      <c r="M38" s="23">
        <f t="shared" si="2"/>
        <v>2016</v>
      </c>
    </row>
    <row r="39" spans="3:13" x14ac:dyDescent="0.3">
      <c r="C39" s="24" t="s">
        <v>55</v>
      </c>
      <c r="D39" s="25">
        <v>42722</v>
      </c>
      <c r="E39" s="24" t="s">
        <v>40</v>
      </c>
      <c r="F39" s="24" t="s">
        <v>6</v>
      </c>
      <c r="G39" s="24" t="s">
        <v>13</v>
      </c>
      <c r="H39" s="24" t="s">
        <v>14</v>
      </c>
      <c r="I39" s="26">
        <v>73.150000000000006</v>
      </c>
      <c r="J39" s="27">
        <v>99</v>
      </c>
      <c r="K39" s="28">
        <f t="shared" si="0"/>
        <v>7241.85</v>
      </c>
      <c r="L39" s="29">
        <f t="shared" si="1"/>
        <v>12</v>
      </c>
      <c r="M39" s="30">
        <f t="shared" si="2"/>
        <v>2016</v>
      </c>
    </row>
  </sheetData>
  <sortState xmlns:xlrd2="http://schemas.microsoft.com/office/spreadsheetml/2017/richdata2" ref="C2:M37">
    <sortCondition ref="D2"/>
  </sortState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00000"/>
  </sheetPr>
  <dimension ref="B2:B26"/>
  <sheetViews>
    <sheetView showGridLines="0" zoomScale="117" zoomScaleNormal="117" workbookViewId="0">
      <selection activeCell="B12" sqref="B12"/>
    </sheetView>
  </sheetViews>
  <sheetFormatPr defaultRowHeight="14.4" x14ac:dyDescent="0.3"/>
  <cols>
    <col min="1" max="1" width="4.5546875" customWidth="1"/>
    <col min="2" max="2" width="81" customWidth="1"/>
    <col min="3" max="3" width="22" bestFit="1" customWidth="1"/>
    <col min="5" max="5" width="12.6640625" customWidth="1"/>
  </cols>
  <sheetData>
    <row r="2" spans="2:2" ht="21" x14ac:dyDescent="0.4">
      <c r="B2" s="14" t="s">
        <v>26</v>
      </c>
    </row>
    <row r="3" spans="2:2" ht="9" customHeight="1" x14ac:dyDescent="0.3"/>
    <row r="4" spans="2:2" x14ac:dyDescent="0.3">
      <c r="B4" s="15" t="s">
        <v>27</v>
      </c>
    </row>
    <row r="5" spans="2:2" x14ac:dyDescent="0.3">
      <c r="B5" s="13" t="s">
        <v>83</v>
      </c>
    </row>
    <row r="7" spans="2:2" x14ac:dyDescent="0.3">
      <c r="B7" s="15" t="s">
        <v>28</v>
      </c>
    </row>
    <row r="8" spans="2:2" x14ac:dyDescent="0.3">
      <c r="B8" s="38" t="s">
        <v>66</v>
      </c>
    </row>
    <row r="9" spans="2:2" x14ac:dyDescent="0.3">
      <c r="B9" s="39" t="s">
        <v>67</v>
      </c>
    </row>
    <row r="10" spans="2:2" x14ac:dyDescent="0.3">
      <c r="B10" t="s">
        <v>68</v>
      </c>
    </row>
    <row r="11" spans="2:2" x14ac:dyDescent="0.3">
      <c r="B11" t="s">
        <v>80</v>
      </c>
    </row>
    <row r="12" spans="2:2" x14ac:dyDescent="0.3">
      <c r="B12" t="s">
        <v>81</v>
      </c>
    </row>
    <row r="14" spans="2:2" x14ac:dyDescent="0.3">
      <c r="B14" s="15" t="s">
        <v>29</v>
      </c>
    </row>
    <row r="15" spans="2:2" x14ac:dyDescent="0.3">
      <c r="B15" t="s">
        <v>30</v>
      </c>
    </row>
    <row r="16" spans="2:2" x14ac:dyDescent="0.3">
      <c r="B16" t="s">
        <v>31</v>
      </c>
    </row>
    <row r="17" spans="2:2" x14ac:dyDescent="0.3">
      <c r="B17" t="s">
        <v>82</v>
      </c>
    </row>
    <row r="19" spans="2:2" x14ac:dyDescent="0.3">
      <c r="B19" s="7" t="s">
        <v>33</v>
      </c>
    </row>
    <row r="20" spans="2:2" ht="15.6" x14ac:dyDescent="0.3">
      <c r="B20" s="8" t="s">
        <v>79</v>
      </c>
    </row>
    <row r="21" spans="2:2" ht="15.6" x14ac:dyDescent="0.3">
      <c r="B21" s="8" t="s">
        <v>25</v>
      </c>
    </row>
    <row r="22" spans="2:2" ht="15.6" x14ac:dyDescent="0.3">
      <c r="B22" s="8" t="s">
        <v>78</v>
      </c>
    </row>
    <row r="24" spans="2:2" x14ac:dyDescent="0.3">
      <c r="B24" s="15" t="s">
        <v>64</v>
      </c>
    </row>
    <row r="25" spans="2:2" x14ac:dyDescent="0.3">
      <c r="B25" t="s">
        <v>65</v>
      </c>
    </row>
    <row r="26" spans="2:2" x14ac:dyDescent="0.3">
      <c r="B26" t="s">
        <v>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C000"/>
  </sheetPr>
  <dimension ref="B2:D16"/>
  <sheetViews>
    <sheetView showGridLines="0" tabSelected="1" zoomScale="126" zoomScaleNormal="126" workbookViewId="0">
      <selection activeCell="C13" sqref="C13:C16"/>
    </sheetView>
  </sheetViews>
  <sheetFormatPr defaultRowHeight="14.4" x14ac:dyDescent="0.3"/>
  <cols>
    <col min="1" max="1" width="4.5546875" customWidth="1"/>
    <col min="2" max="2" width="2" bestFit="1" customWidth="1"/>
    <col min="3" max="3" width="52.88671875" customWidth="1"/>
    <col min="4" max="4" width="7.5546875" customWidth="1"/>
    <col min="5" max="5" width="7.33203125" customWidth="1"/>
    <col min="6" max="6" width="12.6640625" customWidth="1"/>
  </cols>
  <sheetData>
    <row r="2" spans="2:4" ht="18" x14ac:dyDescent="0.35">
      <c r="C2" s="10" t="s">
        <v>61</v>
      </c>
    </row>
    <row r="3" spans="2:4" ht="15.6" x14ac:dyDescent="0.3">
      <c r="C3" s="8" t="s">
        <v>72</v>
      </c>
    </row>
    <row r="4" spans="2:4" ht="15.6" x14ac:dyDescent="0.3">
      <c r="C4" s="11" t="s">
        <v>62</v>
      </c>
      <c r="D4" s="12"/>
    </row>
    <row r="5" spans="2:4" ht="15.6" x14ac:dyDescent="0.3">
      <c r="C5" s="11" t="s">
        <v>63</v>
      </c>
      <c r="D5" s="12"/>
    </row>
    <row r="7" spans="2:4" x14ac:dyDescent="0.3">
      <c r="B7" s="37">
        <v>1</v>
      </c>
      <c r="C7" s="2" t="s">
        <v>73</v>
      </c>
    </row>
    <row r="8" spans="2:4" x14ac:dyDescent="0.3">
      <c r="B8" s="37">
        <v>2</v>
      </c>
      <c r="C8" s="2" t="s">
        <v>74</v>
      </c>
    </row>
    <row r="9" spans="2:4" x14ac:dyDescent="0.3">
      <c r="B9" s="37">
        <v>3</v>
      </c>
      <c r="C9" s="2" t="s">
        <v>76</v>
      </c>
    </row>
    <row r="10" spans="2:4" x14ac:dyDescent="0.3">
      <c r="B10" s="37">
        <v>4</v>
      </c>
      <c r="C10" s="2" t="s">
        <v>77</v>
      </c>
    </row>
    <row r="11" spans="2:4" x14ac:dyDescent="0.3">
      <c r="B11" s="37">
        <v>5</v>
      </c>
      <c r="C11" s="2" t="s">
        <v>75</v>
      </c>
    </row>
    <row r="13" spans="2:4" x14ac:dyDescent="0.3">
      <c r="C13" s="7" t="s">
        <v>33</v>
      </c>
    </row>
    <row r="14" spans="2:4" ht="15.6" x14ac:dyDescent="0.3">
      <c r="C14" s="8" t="s">
        <v>79</v>
      </c>
    </row>
    <row r="15" spans="2:4" ht="15.6" x14ac:dyDescent="0.3">
      <c r="C15" s="8" t="s">
        <v>25</v>
      </c>
    </row>
    <row r="16" spans="2:4" ht="15.6" x14ac:dyDescent="0.3">
      <c r="C16" s="8" t="s">
        <v>78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37"/>
  <sheetViews>
    <sheetView showGridLines="0" zoomScale="90" zoomScaleNormal="90" workbookViewId="0">
      <selection activeCell="K4" sqref="K4"/>
    </sheetView>
  </sheetViews>
  <sheetFormatPr defaultRowHeight="14.4" x14ac:dyDescent="0.3"/>
  <cols>
    <col min="1" max="1" width="10" bestFit="1" customWidth="1"/>
    <col min="2" max="2" width="13.5546875" style="1" customWidth="1"/>
    <col min="3" max="3" width="11.5546875" bestFit="1" customWidth="1"/>
    <col min="4" max="4" width="9.88671875" bestFit="1" customWidth="1"/>
    <col min="5" max="6" width="11.109375" bestFit="1" customWidth="1"/>
    <col min="7" max="7" width="12.6640625" bestFit="1" customWidth="1"/>
    <col min="8" max="8" width="6" style="1" customWidth="1"/>
    <col min="9" max="9" width="15" bestFit="1" customWidth="1"/>
    <col min="10" max="10" width="4.88671875" bestFit="1" customWidth="1"/>
    <col min="11" max="11" width="5.5546875" bestFit="1" customWidth="1"/>
  </cols>
  <sheetData>
    <row r="1" spans="1:11" x14ac:dyDescent="0.3">
      <c r="A1" s="9" t="s">
        <v>0</v>
      </c>
      <c r="B1" s="9" t="s">
        <v>20</v>
      </c>
      <c r="C1" s="9" t="s">
        <v>7</v>
      </c>
      <c r="D1" s="9" t="s">
        <v>4</v>
      </c>
      <c r="E1" s="9" t="s">
        <v>2</v>
      </c>
      <c r="F1" s="9" t="s">
        <v>1</v>
      </c>
      <c r="G1" s="9" t="s">
        <v>24</v>
      </c>
      <c r="H1" s="9" t="s">
        <v>3</v>
      </c>
      <c r="I1" s="9" t="s">
        <v>21</v>
      </c>
      <c r="J1" s="9" t="s">
        <v>23</v>
      </c>
      <c r="K1" s="9" t="s">
        <v>22</v>
      </c>
    </row>
    <row r="2" spans="1:11" x14ac:dyDescent="0.3">
      <c r="A2" t="s">
        <v>55</v>
      </c>
      <c r="B2" s="3">
        <v>41560</v>
      </c>
      <c r="C2" t="s">
        <v>54</v>
      </c>
      <c r="D2" t="s">
        <v>46</v>
      </c>
      <c r="E2" t="s">
        <v>17</v>
      </c>
      <c r="F2" t="s">
        <v>18</v>
      </c>
      <c r="G2" s="4">
        <v>65.22</v>
      </c>
      <c r="H2" s="1">
        <v>45</v>
      </c>
      <c r="I2" s="5">
        <f t="shared" ref="I2:I37" si="0">G2*H2</f>
        <v>2934.9</v>
      </c>
      <c r="J2" s="6">
        <f t="shared" ref="J2:J37" si="1">MONTH(B2)</f>
        <v>10</v>
      </c>
      <c r="K2">
        <f t="shared" ref="K2:K37" si="2">YEAR(B2)</f>
        <v>2013</v>
      </c>
    </row>
    <row r="3" spans="1:11" x14ac:dyDescent="0.3">
      <c r="A3" t="s">
        <v>56</v>
      </c>
      <c r="B3" s="3">
        <v>41561</v>
      </c>
      <c r="C3" t="s">
        <v>49</v>
      </c>
      <c r="D3" t="s">
        <v>6</v>
      </c>
      <c r="E3" t="s">
        <v>11</v>
      </c>
      <c r="F3" t="s">
        <v>34</v>
      </c>
      <c r="G3" s="4">
        <v>3270</v>
      </c>
      <c r="H3" s="1">
        <v>12</v>
      </c>
      <c r="I3" s="5">
        <f t="shared" si="0"/>
        <v>39240</v>
      </c>
      <c r="J3" s="6">
        <f t="shared" si="1"/>
        <v>10</v>
      </c>
      <c r="K3">
        <f t="shared" si="2"/>
        <v>2013</v>
      </c>
    </row>
    <row r="4" spans="1:11" x14ac:dyDescent="0.3">
      <c r="A4" t="s">
        <v>60</v>
      </c>
      <c r="B4" s="3">
        <v>41562</v>
      </c>
      <c r="C4" t="s">
        <v>42</v>
      </c>
      <c r="D4" t="s">
        <v>46</v>
      </c>
      <c r="E4" t="s">
        <v>17</v>
      </c>
      <c r="F4" t="s">
        <v>47</v>
      </c>
      <c r="G4" s="4">
        <v>1685</v>
      </c>
      <c r="H4" s="1">
        <v>75</v>
      </c>
      <c r="I4" s="5">
        <f t="shared" si="0"/>
        <v>126375</v>
      </c>
      <c r="J4" s="6">
        <f t="shared" si="1"/>
        <v>10</v>
      </c>
      <c r="K4">
        <f t="shared" si="2"/>
        <v>2013</v>
      </c>
    </row>
    <row r="5" spans="1:11" x14ac:dyDescent="0.3">
      <c r="A5" t="s">
        <v>60</v>
      </c>
      <c r="B5" s="3">
        <v>41589</v>
      </c>
      <c r="C5" t="s">
        <v>54</v>
      </c>
      <c r="D5" t="s">
        <v>46</v>
      </c>
      <c r="E5" t="s">
        <v>15</v>
      </c>
      <c r="F5" t="s">
        <v>16</v>
      </c>
      <c r="G5" s="4">
        <v>2750</v>
      </c>
      <c r="H5" s="1">
        <v>10</v>
      </c>
      <c r="I5" s="5">
        <f t="shared" si="0"/>
        <v>27500</v>
      </c>
      <c r="J5" s="6">
        <f t="shared" si="1"/>
        <v>11</v>
      </c>
      <c r="K5">
        <f t="shared" si="2"/>
        <v>2013</v>
      </c>
    </row>
    <row r="6" spans="1:11" x14ac:dyDescent="0.3">
      <c r="A6" t="s">
        <v>56</v>
      </c>
      <c r="B6" s="3">
        <v>41594</v>
      </c>
      <c r="C6" t="s">
        <v>50</v>
      </c>
      <c r="D6" t="s">
        <v>8</v>
      </c>
      <c r="E6" t="s">
        <v>17</v>
      </c>
      <c r="F6" t="s">
        <v>37</v>
      </c>
      <c r="G6" s="4">
        <v>451</v>
      </c>
      <c r="H6" s="1">
        <v>80</v>
      </c>
      <c r="I6" s="5">
        <f t="shared" si="0"/>
        <v>36080</v>
      </c>
      <c r="J6" s="6">
        <f t="shared" si="1"/>
        <v>11</v>
      </c>
      <c r="K6">
        <f t="shared" si="2"/>
        <v>2013</v>
      </c>
    </row>
    <row r="7" spans="1:11" x14ac:dyDescent="0.3">
      <c r="A7" t="s">
        <v>56</v>
      </c>
      <c r="B7" s="3">
        <v>41595</v>
      </c>
      <c r="C7" t="s">
        <v>41</v>
      </c>
      <c r="D7" t="s">
        <v>10</v>
      </c>
      <c r="E7" t="s">
        <v>15</v>
      </c>
      <c r="F7" t="s">
        <v>39</v>
      </c>
      <c r="G7" s="4">
        <v>1285.27</v>
      </c>
      <c r="H7" s="1">
        <v>15</v>
      </c>
      <c r="I7" s="5">
        <f t="shared" si="0"/>
        <v>19279.05</v>
      </c>
      <c r="J7" s="6">
        <f t="shared" si="1"/>
        <v>11</v>
      </c>
      <c r="K7">
        <f t="shared" si="2"/>
        <v>2013</v>
      </c>
    </row>
    <row r="8" spans="1:11" x14ac:dyDescent="0.3">
      <c r="A8" t="s">
        <v>5</v>
      </c>
      <c r="B8" s="3">
        <v>41595</v>
      </c>
      <c r="C8" t="s">
        <v>51</v>
      </c>
      <c r="D8" t="s">
        <v>10</v>
      </c>
      <c r="E8" t="s">
        <v>15</v>
      </c>
      <c r="F8" t="s">
        <v>48</v>
      </c>
      <c r="G8" s="4">
        <v>2358</v>
      </c>
      <c r="H8" s="1">
        <v>25</v>
      </c>
      <c r="I8" s="5">
        <f t="shared" si="0"/>
        <v>58950</v>
      </c>
      <c r="J8" s="6">
        <f t="shared" si="1"/>
        <v>11</v>
      </c>
      <c r="K8">
        <f t="shared" si="2"/>
        <v>2013</v>
      </c>
    </row>
    <row r="9" spans="1:11" x14ac:dyDescent="0.3">
      <c r="A9" t="s">
        <v>57</v>
      </c>
      <c r="B9" s="3">
        <v>41599</v>
      </c>
      <c r="C9" t="s">
        <v>43</v>
      </c>
      <c r="D9" t="s">
        <v>6</v>
      </c>
      <c r="E9" t="s">
        <v>17</v>
      </c>
      <c r="F9" t="s">
        <v>47</v>
      </c>
      <c r="G9" s="4">
        <v>1685</v>
      </c>
      <c r="H9" s="1">
        <v>18</v>
      </c>
      <c r="I9" s="5">
        <f t="shared" si="0"/>
        <v>30330</v>
      </c>
      <c r="J9" s="6">
        <f t="shared" si="1"/>
        <v>11</v>
      </c>
      <c r="K9">
        <f t="shared" si="2"/>
        <v>2013</v>
      </c>
    </row>
    <row r="10" spans="1:11" x14ac:dyDescent="0.3">
      <c r="A10" t="s">
        <v>57</v>
      </c>
      <c r="B10" s="3">
        <v>41610</v>
      </c>
      <c r="C10" t="s">
        <v>41</v>
      </c>
      <c r="D10" t="s">
        <v>10</v>
      </c>
      <c r="E10" t="s">
        <v>15</v>
      </c>
      <c r="F10" t="s">
        <v>16</v>
      </c>
      <c r="G10" s="4">
        <v>1850</v>
      </c>
      <c r="H10" s="1">
        <v>25</v>
      </c>
      <c r="I10" s="5">
        <f t="shared" si="0"/>
        <v>46250</v>
      </c>
      <c r="J10" s="6">
        <f t="shared" si="1"/>
        <v>12</v>
      </c>
      <c r="K10">
        <f t="shared" si="2"/>
        <v>2013</v>
      </c>
    </row>
    <row r="11" spans="1:11" x14ac:dyDescent="0.3">
      <c r="A11" t="s">
        <v>60</v>
      </c>
      <c r="B11" s="3">
        <v>41617</v>
      </c>
      <c r="C11" t="s">
        <v>53</v>
      </c>
      <c r="D11" t="s">
        <v>8</v>
      </c>
      <c r="E11" t="s">
        <v>11</v>
      </c>
      <c r="F11" t="s">
        <v>34</v>
      </c>
      <c r="G11" s="4">
        <v>4800</v>
      </c>
      <c r="H11" s="1">
        <v>10</v>
      </c>
      <c r="I11" s="5">
        <f t="shared" si="0"/>
        <v>48000</v>
      </c>
      <c r="J11" s="6">
        <f t="shared" si="1"/>
        <v>12</v>
      </c>
      <c r="K11">
        <f t="shared" si="2"/>
        <v>2013</v>
      </c>
    </row>
    <row r="12" spans="1:11" x14ac:dyDescent="0.3">
      <c r="A12" t="s">
        <v>55</v>
      </c>
      <c r="B12" s="3">
        <v>41624</v>
      </c>
      <c r="C12" t="s">
        <v>41</v>
      </c>
      <c r="D12" t="s">
        <v>10</v>
      </c>
      <c r="E12" t="s">
        <v>15</v>
      </c>
      <c r="F12" t="s">
        <v>48</v>
      </c>
      <c r="G12" s="4">
        <v>2358</v>
      </c>
      <c r="H12" s="1">
        <v>30</v>
      </c>
      <c r="I12" s="5">
        <f t="shared" si="0"/>
        <v>70740</v>
      </c>
      <c r="J12" s="6">
        <f t="shared" si="1"/>
        <v>12</v>
      </c>
      <c r="K12">
        <f t="shared" si="2"/>
        <v>2013</v>
      </c>
    </row>
    <row r="13" spans="1:11" x14ac:dyDescent="0.3">
      <c r="A13" t="s">
        <v>58</v>
      </c>
      <c r="B13" s="3">
        <v>41640</v>
      </c>
      <c r="C13" t="s">
        <v>40</v>
      </c>
      <c r="D13" t="s">
        <v>6</v>
      </c>
      <c r="E13" t="s">
        <v>11</v>
      </c>
      <c r="F13" t="s">
        <v>34</v>
      </c>
      <c r="G13" s="4">
        <v>3270</v>
      </c>
      <c r="H13" s="1">
        <v>4</v>
      </c>
      <c r="I13" s="5">
        <f t="shared" si="0"/>
        <v>13080</v>
      </c>
      <c r="J13" s="6">
        <f t="shared" si="1"/>
        <v>1</v>
      </c>
      <c r="K13">
        <f t="shared" si="2"/>
        <v>2014</v>
      </c>
    </row>
    <row r="14" spans="1:11" x14ac:dyDescent="0.3">
      <c r="A14" t="s">
        <v>55</v>
      </c>
      <c r="B14" s="3">
        <v>41640</v>
      </c>
      <c r="C14" t="s">
        <v>43</v>
      </c>
      <c r="D14" t="s">
        <v>6</v>
      </c>
      <c r="E14" t="s">
        <v>13</v>
      </c>
      <c r="F14" t="s">
        <v>14</v>
      </c>
      <c r="G14" s="4">
        <v>73.150000000000006</v>
      </c>
      <c r="H14" s="1">
        <v>87</v>
      </c>
      <c r="I14" s="5">
        <f t="shared" si="0"/>
        <v>6364.05</v>
      </c>
      <c r="J14" s="6">
        <f t="shared" si="1"/>
        <v>1</v>
      </c>
      <c r="K14">
        <f t="shared" si="2"/>
        <v>2014</v>
      </c>
    </row>
    <row r="15" spans="1:11" x14ac:dyDescent="0.3">
      <c r="A15" t="s">
        <v>5</v>
      </c>
      <c r="B15" s="3">
        <v>41640</v>
      </c>
      <c r="C15" t="s">
        <v>45</v>
      </c>
      <c r="D15" t="s">
        <v>9</v>
      </c>
      <c r="E15" t="s">
        <v>17</v>
      </c>
      <c r="F15" t="s">
        <v>18</v>
      </c>
      <c r="G15" s="4">
        <v>65.22</v>
      </c>
      <c r="H15" s="1">
        <v>64</v>
      </c>
      <c r="I15" s="5">
        <f t="shared" si="0"/>
        <v>4174.08</v>
      </c>
      <c r="J15" s="6">
        <f t="shared" si="1"/>
        <v>1</v>
      </c>
      <c r="K15">
        <f t="shared" si="2"/>
        <v>2014</v>
      </c>
    </row>
    <row r="16" spans="1:11" x14ac:dyDescent="0.3">
      <c r="A16" t="s">
        <v>59</v>
      </c>
      <c r="B16" s="3">
        <v>41640</v>
      </c>
      <c r="C16" t="s">
        <v>19</v>
      </c>
      <c r="D16" t="s">
        <v>9</v>
      </c>
      <c r="E16" t="s">
        <v>13</v>
      </c>
      <c r="F16" t="s">
        <v>38</v>
      </c>
      <c r="G16" s="4">
        <v>1250</v>
      </c>
      <c r="H16" s="1">
        <v>27</v>
      </c>
      <c r="I16" s="5">
        <f t="shared" si="0"/>
        <v>33750</v>
      </c>
      <c r="J16" s="6">
        <f t="shared" si="1"/>
        <v>1</v>
      </c>
      <c r="K16">
        <f t="shared" si="2"/>
        <v>2014</v>
      </c>
    </row>
    <row r="17" spans="1:11" x14ac:dyDescent="0.3">
      <c r="A17" t="s">
        <v>55</v>
      </c>
      <c r="B17" s="3">
        <v>41640</v>
      </c>
      <c r="C17" t="s">
        <v>43</v>
      </c>
      <c r="D17" t="s">
        <v>6</v>
      </c>
      <c r="E17" t="s">
        <v>11</v>
      </c>
      <c r="F17" t="s">
        <v>34</v>
      </c>
      <c r="G17" s="4">
        <v>3270</v>
      </c>
      <c r="H17" s="1">
        <v>7</v>
      </c>
      <c r="I17" s="5">
        <f t="shared" si="0"/>
        <v>22890</v>
      </c>
      <c r="J17" s="6">
        <f t="shared" si="1"/>
        <v>1</v>
      </c>
      <c r="K17">
        <f t="shared" si="2"/>
        <v>2014</v>
      </c>
    </row>
    <row r="18" spans="1:11" x14ac:dyDescent="0.3">
      <c r="A18" t="s">
        <v>5</v>
      </c>
      <c r="B18" s="3">
        <v>41641</v>
      </c>
      <c r="C18" t="s">
        <v>19</v>
      </c>
      <c r="D18" t="s">
        <v>9</v>
      </c>
      <c r="E18" t="s">
        <v>15</v>
      </c>
      <c r="F18" t="s">
        <v>48</v>
      </c>
      <c r="G18" s="4">
        <v>2200</v>
      </c>
      <c r="H18" s="1">
        <v>50</v>
      </c>
      <c r="I18" s="5">
        <f t="shared" si="0"/>
        <v>110000</v>
      </c>
      <c r="J18" s="6">
        <f t="shared" si="1"/>
        <v>1</v>
      </c>
      <c r="K18">
        <f t="shared" si="2"/>
        <v>2014</v>
      </c>
    </row>
    <row r="19" spans="1:11" x14ac:dyDescent="0.3">
      <c r="A19" t="s">
        <v>60</v>
      </c>
      <c r="B19" s="3">
        <v>41653</v>
      </c>
      <c r="C19" t="s">
        <v>54</v>
      </c>
      <c r="D19" t="s">
        <v>46</v>
      </c>
      <c r="E19" t="s">
        <v>11</v>
      </c>
      <c r="F19" t="s">
        <v>12</v>
      </c>
      <c r="G19" s="4">
        <v>850</v>
      </c>
      <c r="H19" s="1">
        <v>8</v>
      </c>
      <c r="I19" s="5">
        <f t="shared" si="0"/>
        <v>6800</v>
      </c>
      <c r="J19" s="6">
        <f t="shared" si="1"/>
        <v>1</v>
      </c>
      <c r="K19">
        <f t="shared" si="2"/>
        <v>2014</v>
      </c>
    </row>
    <row r="20" spans="1:11" x14ac:dyDescent="0.3">
      <c r="A20" t="s">
        <v>5</v>
      </c>
      <c r="B20" s="3">
        <v>41657</v>
      </c>
      <c r="C20" t="s">
        <v>40</v>
      </c>
      <c r="D20" t="s">
        <v>6</v>
      </c>
      <c r="E20" t="s">
        <v>11</v>
      </c>
      <c r="F20" t="s">
        <v>34</v>
      </c>
      <c r="G20" s="4">
        <v>3270</v>
      </c>
      <c r="H20" s="1">
        <v>7</v>
      </c>
      <c r="I20" s="5">
        <f t="shared" si="0"/>
        <v>22890</v>
      </c>
      <c r="J20" s="6">
        <f t="shared" si="1"/>
        <v>1</v>
      </c>
      <c r="K20">
        <f t="shared" si="2"/>
        <v>2014</v>
      </c>
    </row>
    <row r="21" spans="1:11" x14ac:dyDescent="0.3">
      <c r="A21" t="s">
        <v>59</v>
      </c>
      <c r="B21" s="3">
        <v>41661</v>
      </c>
      <c r="C21" t="s">
        <v>40</v>
      </c>
      <c r="D21" t="s">
        <v>6</v>
      </c>
      <c r="E21" t="s">
        <v>13</v>
      </c>
      <c r="F21" t="s">
        <v>38</v>
      </c>
      <c r="G21" s="4">
        <v>1250</v>
      </c>
      <c r="H21" s="1">
        <v>35</v>
      </c>
      <c r="I21" s="5">
        <f t="shared" si="0"/>
        <v>43750</v>
      </c>
      <c r="J21" s="6">
        <f t="shared" si="1"/>
        <v>1</v>
      </c>
      <c r="K21">
        <f t="shared" si="2"/>
        <v>2014</v>
      </c>
    </row>
    <row r="22" spans="1:11" x14ac:dyDescent="0.3">
      <c r="A22" t="s">
        <v>59</v>
      </c>
      <c r="B22" s="3">
        <v>41665</v>
      </c>
      <c r="C22" t="s">
        <v>53</v>
      </c>
      <c r="D22" t="s">
        <v>8</v>
      </c>
      <c r="E22" t="s">
        <v>15</v>
      </c>
      <c r="F22" t="s">
        <v>39</v>
      </c>
      <c r="G22" s="4">
        <v>685</v>
      </c>
      <c r="H22" s="1">
        <v>18</v>
      </c>
      <c r="I22" s="5">
        <f t="shared" si="0"/>
        <v>12330</v>
      </c>
      <c r="J22" s="6">
        <f t="shared" si="1"/>
        <v>1</v>
      </c>
      <c r="K22">
        <f t="shared" si="2"/>
        <v>2014</v>
      </c>
    </row>
    <row r="23" spans="1:11" x14ac:dyDescent="0.3">
      <c r="A23" t="s">
        <v>56</v>
      </c>
      <c r="B23" s="3">
        <v>41669</v>
      </c>
      <c r="C23" t="s">
        <v>49</v>
      </c>
      <c r="D23" t="s">
        <v>6</v>
      </c>
      <c r="E23" t="s">
        <v>17</v>
      </c>
      <c r="F23" t="s">
        <v>37</v>
      </c>
      <c r="G23" s="4">
        <v>451</v>
      </c>
      <c r="H23" s="1">
        <v>70</v>
      </c>
      <c r="I23" s="5">
        <f t="shared" si="0"/>
        <v>31570</v>
      </c>
      <c r="J23" s="6">
        <f t="shared" si="1"/>
        <v>1</v>
      </c>
      <c r="K23">
        <f t="shared" si="2"/>
        <v>2014</v>
      </c>
    </row>
    <row r="24" spans="1:11" x14ac:dyDescent="0.3">
      <c r="A24" t="s">
        <v>56</v>
      </c>
      <c r="B24" s="3">
        <v>41669</v>
      </c>
      <c r="C24" t="s">
        <v>49</v>
      </c>
      <c r="D24" t="s">
        <v>6</v>
      </c>
      <c r="E24" t="s">
        <v>13</v>
      </c>
      <c r="F24" t="s">
        <v>14</v>
      </c>
      <c r="G24" s="4">
        <v>73.150000000000006</v>
      </c>
      <c r="H24" s="1">
        <v>98</v>
      </c>
      <c r="I24" s="5">
        <f t="shared" si="0"/>
        <v>7168.7000000000007</v>
      </c>
      <c r="J24" s="6">
        <f t="shared" si="1"/>
        <v>1</v>
      </c>
      <c r="K24">
        <f t="shared" si="2"/>
        <v>2014</v>
      </c>
    </row>
    <row r="25" spans="1:11" x14ac:dyDescent="0.3">
      <c r="A25" t="s">
        <v>55</v>
      </c>
      <c r="B25" s="3">
        <v>41673</v>
      </c>
      <c r="C25" t="s">
        <v>54</v>
      </c>
      <c r="D25" t="s">
        <v>46</v>
      </c>
      <c r="E25" t="s">
        <v>15</v>
      </c>
      <c r="F25" t="s">
        <v>16</v>
      </c>
      <c r="G25" s="4">
        <v>2750</v>
      </c>
      <c r="H25" s="1">
        <v>12</v>
      </c>
      <c r="I25" s="5">
        <f t="shared" si="0"/>
        <v>33000</v>
      </c>
      <c r="J25" s="6">
        <f t="shared" si="1"/>
        <v>2</v>
      </c>
      <c r="K25">
        <f t="shared" si="2"/>
        <v>2014</v>
      </c>
    </row>
    <row r="26" spans="1:11" x14ac:dyDescent="0.3">
      <c r="A26" t="s">
        <v>58</v>
      </c>
      <c r="B26" s="3">
        <v>41677</v>
      </c>
      <c r="C26" t="s">
        <v>44</v>
      </c>
      <c r="D26" t="s">
        <v>10</v>
      </c>
      <c r="E26" t="s">
        <v>11</v>
      </c>
      <c r="F26" t="s">
        <v>35</v>
      </c>
      <c r="G26" s="4">
        <v>1853.39</v>
      </c>
      <c r="H26" s="1">
        <v>15</v>
      </c>
      <c r="I26" s="5">
        <f t="shared" si="0"/>
        <v>27800.850000000002</v>
      </c>
      <c r="J26" s="6">
        <f t="shared" si="1"/>
        <v>2</v>
      </c>
      <c r="K26">
        <f t="shared" si="2"/>
        <v>2014</v>
      </c>
    </row>
    <row r="27" spans="1:11" x14ac:dyDescent="0.3">
      <c r="A27" t="s">
        <v>59</v>
      </c>
      <c r="B27" s="3">
        <v>41679</v>
      </c>
      <c r="C27" t="s">
        <v>53</v>
      </c>
      <c r="D27" t="s">
        <v>8</v>
      </c>
      <c r="E27" t="s">
        <v>13</v>
      </c>
      <c r="F27" t="s">
        <v>38</v>
      </c>
      <c r="G27" s="4">
        <v>950</v>
      </c>
      <c r="H27" s="1">
        <v>25</v>
      </c>
      <c r="I27" s="5">
        <f t="shared" si="0"/>
        <v>23750</v>
      </c>
      <c r="J27" s="6">
        <f t="shared" si="1"/>
        <v>2</v>
      </c>
      <c r="K27">
        <f t="shared" si="2"/>
        <v>2014</v>
      </c>
    </row>
    <row r="28" spans="1:11" x14ac:dyDescent="0.3">
      <c r="A28" t="s">
        <v>57</v>
      </c>
      <c r="B28" s="3">
        <v>41679</v>
      </c>
      <c r="C28" t="s">
        <v>53</v>
      </c>
      <c r="D28" t="s">
        <v>8</v>
      </c>
      <c r="E28" t="s">
        <v>13</v>
      </c>
      <c r="F28" t="s">
        <v>38</v>
      </c>
      <c r="G28" s="4">
        <v>950</v>
      </c>
      <c r="H28" s="1">
        <v>33</v>
      </c>
      <c r="I28" s="5">
        <f t="shared" si="0"/>
        <v>31350</v>
      </c>
      <c r="J28" s="6">
        <f t="shared" si="1"/>
        <v>2</v>
      </c>
      <c r="K28">
        <f t="shared" si="2"/>
        <v>2014</v>
      </c>
    </row>
    <row r="29" spans="1:11" x14ac:dyDescent="0.3">
      <c r="A29" t="s">
        <v>59</v>
      </c>
      <c r="B29" s="3">
        <v>41681</v>
      </c>
      <c r="C29" t="s">
        <v>40</v>
      </c>
      <c r="D29" t="s">
        <v>6</v>
      </c>
      <c r="E29" t="s">
        <v>17</v>
      </c>
      <c r="F29" t="s">
        <v>37</v>
      </c>
      <c r="G29" s="4">
        <v>451</v>
      </c>
      <c r="H29" s="1">
        <v>87</v>
      </c>
      <c r="I29" s="5">
        <f t="shared" si="0"/>
        <v>39237</v>
      </c>
      <c r="J29" s="6">
        <f t="shared" si="1"/>
        <v>2</v>
      </c>
      <c r="K29">
        <f t="shared" si="2"/>
        <v>2014</v>
      </c>
    </row>
    <row r="30" spans="1:11" x14ac:dyDescent="0.3">
      <c r="A30" t="s">
        <v>57</v>
      </c>
      <c r="B30" s="3">
        <v>41683</v>
      </c>
      <c r="C30" t="s">
        <v>45</v>
      </c>
      <c r="D30" t="s">
        <v>9</v>
      </c>
      <c r="E30" t="s">
        <v>15</v>
      </c>
      <c r="F30" t="s">
        <v>36</v>
      </c>
      <c r="G30" s="4">
        <v>415</v>
      </c>
      <c r="H30" s="1">
        <v>50</v>
      </c>
      <c r="I30" s="5">
        <f t="shared" si="0"/>
        <v>20750</v>
      </c>
      <c r="J30" s="6">
        <f t="shared" si="1"/>
        <v>2</v>
      </c>
      <c r="K30">
        <f t="shared" si="2"/>
        <v>2014</v>
      </c>
    </row>
    <row r="31" spans="1:11" x14ac:dyDescent="0.3">
      <c r="A31" t="s">
        <v>58</v>
      </c>
      <c r="B31" s="3">
        <v>41683</v>
      </c>
      <c r="C31" t="s">
        <v>45</v>
      </c>
      <c r="D31" t="s">
        <v>9</v>
      </c>
      <c r="E31" t="s">
        <v>15</v>
      </c>
      <c r="F31" t="s">
        <v>36</v>
      </c>
      <c r="G31" s="4">
        <v>415</v>
      </c>
      <c r="H31" s="1">
        <v>33</v>
      </c>
      <c r="I31" s="5">
        <f t="shared" si="0"/>
        <v>13695</v>
      </c>
      <c r="J31" s="6">
        <f t="shared" si="1"/>
        <v>2</v>
      </c>
      <c r="K31">
        <f t="shared" si="2"/>
        <v>2014</v>
      </c>
    </row>
    <row r="32" spans="1:11" x14ac:dyDescent="0.3">
      <c r="A32" t="s">
        <v>5</v>
      </c>
      <c r="B32" s="3">
        <v>41685</v>
      </c>
      <c r="C32" t="s">
        <v>42</v>
      </c>
      <c r="D32" t="s">
        <v>46</v>
      </c>
      <c r="E32" t="s">
        <v>17</v>
      </c>
      <c r="F32" t="s">
        <v>47</v>
      </c>
      <c r="G32" s="4">
        <v>1685</v>
      </c>
      <c r="H32" s="1">
        <v>28</v>
      </c>
      <c r="I32" s="5">
        <f t="shared" si="0"/>
        <v>47180</v>
      </c>
      <c r="J32" s="6">
        <f t="shared" si="1"/>
        <v>2</v>
      </c>
      <c r="K32">
        <f t="shared" si="2"/>
        <v>2014</v>
      </c>
    </row>
    <row r="33" spans="1:11" x14ac:dyDescent="0.3">
      <c r="A33" t="s">
        <v>58</v>
      </c>
      <c r="B33" s="3">
        <v>41685</v>
      </c>
      <c r="C33" t="s">
        <v>42</v>
      </c>
      <c r="D33" t="s">
        <v>46</v>
      </c>
      <c r="E33" t="s">
        <v>15</v>
      </c>
      <c r="F33" t="s">
        <v>39</v>
      </c>
      <c r="G33" s="4">
        <v>1685</v>
      </c>
      <c r="H33" s="1">
        <v>15</v>
      </c>
      <c r="I33" s="5">
        <f t="shared" si="0"/>
        <v>25275</v>
      </c>
      <c r="J33" s="6">
        <f t="shared" si="1"/>
        <v>2</v>
      </c>
      <c r="K33">
        <f t="shared" si="2"/>
        <v>2014</v>
      </c>
    </row>
    <row r="34" spans="1:11" x14ac:dyDescent="0.3">
      <c r="A34" t="s">
        <v>5</v>
      </c>
      <c r="B34" s="3">
        <v>41689</v>
      </c>
      <c r="C34" t="s">
        <v>44</v>
      </c>
      <c r="D34" t="s">
        <v>10</v>
      </c>
      <c r="E34" t="s">
        <v>11</v>
      </c>
      <c r="F34" t="s">
        <v>34</v>
      </c>
      <c r="G34" s="4">
        <v>4800</v>
      </c>
      <c r="H34" s="1">
        <v>9</v>
      </c>
      <c r="I34" s="5">
        <f t="shared" si="0"/>
        <v>43200</v>
      </c>
      <c r="J34" s="6">
        <f t="shared" si="1"/>
        <v>2</v>
      </c>
      <c r="K34">
        <f t="shared" si="2"/>
        <v>2014</v>
      </c>
    </row>
    <row r="35" spans="1:11" x14ac:dyDescent="0.3">
      <c r="A35" t="s">
        <v>58</v>
      </c>
      <c r="B35" s="3">
        <v>41700</v>
      </c>
      <c r="C35" t="s">
        <v>52</v>
      </c>
      <c r="D35" t="s">
        <v>6</v>
      </c>
      <c r="E35" t="s">
        <v>13</v>
      </c>
      <c r="F35" t="s">
        <v>14</v>
      </c>
      <c r="G35" s="4">
        <v>73.150000000000006</v>
      </c>
      <c r="H35" s="1">
        <v>98</v>
      </c>
      <c r="I35" s="5">
        <f t="shared" si="0"/>
        <v>7168.7000000000007</v>
      </c>
      <c r="J35" s="6">
        <f t="shared" si="1"/>
        <v>3</v>
      </c>
      <c r="K35">
        <f t="shared" si="2"/>
        <v>2014</v>
      </c>
    </row>
    <row r="36" spans="1:11" x14ac:dyDescent="0.3">
      <c r="A36" t="s">
        <v>58</v>
      </c>
      <c r="B36" s="3">
        <v>41722</v>
      </c>
      <c r="C36" t="s">
        <v>52</v>
      </c>
      <c r="D36" t="s">
        <v>6</v>
      </c>
      <c r="E36" t="s">
        <v>11</v>
      </c>
      <c r="F36" t="s">
        <v>35</v>
      </c>
      <c r="G36" s="4">
        <v>1853.39</v>
      </c>
      <c r="H36" s="1">
        <v>12</v>
      </c>
      <c r="I36" s="5">
        <f t="shared" si="0"/>
        <v>22240.68</v>
      </c>
      <c r="J36" s="6">
        <f t="shared" si="1"/>
        <v>3</v>
      </c>
      <c r="K36">
        <f t="shared" si="2"/>
        <v>2014</v>
      </c>
    </row>
    <row r="37" spans="1:11" x14ac:dyDescent="0.3">
      <c r="A37" t="s">
        <v>55</v>
      </c>
      <c r="B37" s="3">
        <v>41722</v>
      </c>
      <c r="C37" t="s">
        <v>40</v>
      </c>
      <c r="D37" t="s">
        <v>6</v>
      </c>
      <c r="E37" t="s">
        <v>13</v>
      </c>
      <c r="F37" t="s">
        <v>14</v>
      </c>
      <c r="G37" s="4">
        <v>73.150000000000006</v>
      </c>
      <c r="H37" s="1">
        <v>99</v>
      </c>
      <c r="I37" s="5">
        <f t="shared" si="0"/>
        <v>7241.85</v>
      </c>
      <c r="J37" s="6">
        <f t="shared" si="1"/>
        <v>3</v>
      </c>
      <c r="K37">
        <f t="shared" si="2"/>
        <v>2014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Tema</vt:lpstr>
      <vt:lpstr>BASE</vt:lpstr>
      <vt:lpstr>Anotações</vt:lpstr>
      <vt:lpstr>Email do Chefe</vt:lpstr>
      <vt:lpstr>Bkp 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XP</dc:creator>
  <cp:lastModifiedBy>Santos, R. (Rodolfo)</cp:lastModifiedBy>
  <dcterms:created xsi:type="dcterms:W3CDTF">2011-02-10T16:00:08Z</dcterms:created>
  <dcterms:modified xsi:type="dcterms:W3CDTF">2026-01-14T18:08:12Z</dcterms:modified>
</cp:coreProperties>
</file>